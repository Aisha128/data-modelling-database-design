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oryxuni-my.sharepoint.com/personal/103589_oryx_edu_qa/Documents/"/>
    </mc:Choice>
  </mc:AlternateContent>
  <xr:revisionPtr revIDLastSave="71" documentId="8_{CBE85D33-38E5-4D6A-8D50-757081DFD8B7}" xr6:coauthVersionLast="47" xr6:coauthVersionMax="47" xr10:uidLastSave="{36527833-6728-4382-ACA4-4D3BAD176550}"/>
  <bookViews>
    <workbookView xWindow="-108" yWindow="-108" windowWidth="23256" windowHeight="12456" xr2:uid="{00000000-000D-0000-FFFF-FFFF00000000}"/>
  </bookViews>
  <sheets>
    <sheet name="Question" sheetId="9" r:id="rId1"/>
  </sheets>
  <definedNames>
    <definedName name="_xlnm._FilterDatabase" localSheetId="0" hidden="1">Question!$A$1:$U$107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07" i="9" l="1"/>
  <c r="U106" i="9"/>
  <c r="U105" i="9"/>
  <c r="U104" i="9"/>
  <c r="U103" i="9"/>
  <c r="T107" i="9"/>
  <c r="T106" i="9"/>
  <c r="T105" i="9"/>
  <c r="T104" i="9"/>
  <c r="T103" i="9"/>
  <c r="S107" i="9"/>
  <c r="S106" i="9"/>
  <c r="S105" i="9"/>
  <c r="S104" i="9"/>
  <c r="S103" i="9"/>
  <c r="R107" i="9"/>
  <c r="R106" i="9"/>
  <c r="R105" i="9"/>
  <c r="R104" i="9"/>
  <c r="R103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2" i="9"/>
  <c r="F102" i="9"/>
  <c r="G102" i="9"/>
  <c r="H102" i="9"/>
  <c r="I102" i="9"/>
  <c r="J102" i="9"/>
  <c r="K102" i="9"/>
  <c r="L102" i="9"/>
  <c r="M102" i="9"/>
  <c r="N102" i="9"/>
  <c r="O102" i="9"/>
  <c r="E102" i="9"/>
  <c r="B102" i="9"/>
</calcChain>
</file>

<file path=xl/sharedStrings.xml><?xml version="1.0" encoding="utf-8"?>
<sst xmlns="http://schemas.openxmlformats.org/spreadsheetml/2006/main" count="319" uniqueCount="182">
  <si>
    <t>ID</t>
  </si>
  <si>
    <t>First names</t>
  </si>
  <si>
    <t>Surname</t>
  </si>
  <si>
    <t>Programme</t>
  </si>
  <si>
    <t>Total</t>
  </si>
  <si>
    <t>Attendance %</t>
  </si>
  <si>
    <t>AS1</t>
  </si>
  <si>
    <t>AS2</t>
  </si>
  <si>
    <t>AS3</t>
  </si>
  <si>
    <t>Overall Average</t>
  </si>
  <si>
    <t>Alan</t>
  </si>
  <si>
    <t>Allan</t>
  </si>
  <si>
    <t>Ocean Engineering</t>
  </si>
  <si>
    <t>Teaching Sessions</t>
  </si>
  <si>
    <t>Vanessa</t>
  </si>
  <si>
    <t>Alsop</t>
  </si>
  <si>
    <t>Aerospace Engineering</t>
  </si>
  <si>
    <t>Lisa</t>
  </si>
  <si>
    <t>Connor</t>
  </si>
  <si>
    <t>Bailey</t>
  </si>
  <si>
    <t>Industrial and Systems Engineering</t>
  </si>
  <si>
    <t>Christopher</t>
  </si>
  <si>
    <t>Bell</t>
  </si>
  <si>
    <t>Samantha</t>
  </si>
  <si>
    <t>Brown</t>
  </si>
  <si>
    <t>Jason</t>
  </si>
  <si>
    <t>Burgess</t>
  </si>
  <si>
    <t>Abigail</t>
  </si>
  <si>
    <t>Butler</t>
  </si>
  <si>
    <t>Nicholas</t>
  </si>
  <si>
    <t>Cameron</t>
  </si>
  <si>
    <t>Keith</t>
  </si>
  <si>
    <t>Campbell</t>
  </si>
  <si>
    <t>Construction Engineering and Management</t>
  </si>
  <si>
    <t>Ella</t>
  </si>
  <si>
    <t>Carr</t>
  </si>
  <si>
    <t>Max</t>
  </si>
  <si>
    <t>Yvonne</t>
  </si>
  <si>
    <t>Churchill</t>
  </si>
  <si>
    <t>Jack</t>
  </si>
  <si>
    <t>Amanda</t>
  </si>
  <si>
    <t>Clark</t>
  </si>
  <si>
    <t>Tracey</t>
  </si>
  <si>
    <t>Cornish</t>
  </si>
  <si>
    <t>Joseph</t>
  </si>
  <si>
    <t>Davies</t>
  </si>
  <si>
    <t>Andrew</t>
  </si>
  <si>
    <t>Dickens</t>
  </si>
  <si>
    <t>Donna</t>
  </si>
  <si>
    <t>Duncan</t>
  </si>
  <si>
    <t>Blake</t>
  </si>
  <si>
    <t>Matt</t>
  </si>
  <si>
    <t>Dyer</t>
  </si>
  <si>
    <t>Audrey</t>
  </si>
  <si>
    <t>Ellison</t>
  </si>
  <si>
    <t>Carl</t>
  </si>
  <si>
    <t>Ferguson</t>
  </si>
  <si>
    <t>Robert</t>
  </si>
  <si>
    <t>Forsyth</t>
  </si>
  <si>
    <t>Joe</t>
  </si>
  <si>
    <t>Fraser</t>
  </si>
  <si>
    <t>Glover</t>
  </si>
  <si>
    <t>Olivia</t>
  </si>
  <si>
    <t>Sophie</t>
  </si>
  <si>
    <t>Gray</t>
  </si>
  <si>
    <t>Austin</t>
  </si>
  <si>
    <t>Hart</t>
  </si>
  <si>
    <t>Wendy</t>
  </si>
  <si>
    <t>Hemmings</t>
  </si>
  <si>
    <t>Neil</t>
  </si>
  <si>
    <t>Rose</t>
  </si>
  <si>
    <t>Hodges</t>
  </si>
  <si>
    <t>Colin</t>
  </si>
  <si>
    <t>Hudson</t>
  </si>
  <si>
    <t>John</t>
  </si>
  <si>
    <t>Hughes</t>
  </si>
  <si>
    <t>Madeleine</t>
  </si>
  <si>
    <t>Ince</t>
  </si>
  <si>
    <t>Penelope</t>
  </si>
  <si>
    <t>Jackson</t>
  </si>
  <si>
    <t>Amy</t>
  </si>
  <si>
    <t>Jones</t>
  </si>
  <si>
    <t>Carolyn</t>
  </si>
  <si>
    <t>Kelly</t>
  </si>
  <si>
    <t>Victor</t>
  </si>
  <si>
    <t>Lambert</t>
  </si>
  <si>
    <t>Langdon</t>
  </si>
  <si>
    <t>Electrical Engineering</t>
  </si>
  <si>
    <t>Luke</t>
  </si>
  <si>
    <t>Lawrence</t>
  </si>
  <si>
    <t>Dan-Ben</t>
  </si>
  <si>
    <t>Lee</t>
  </si>
  <si>
    <t>Thomas</t>
  </si>
  <si>
    <t>Heather</t>
  </si>
  <si>
    <t>Lyman</t>
  </si>
  <si>
    <t>Jake</t>
  </si>
  <si>
    <t>Mackay</t>
  </si>
  <si>
    <t>Leonard</t>
  </si>
  <si>
    <t>MacLeod</t>
  </si>
  <si>
    <t>Marshall</t>
  </si>
  <si>
    <t>Megan</t>
  </si>
  <si>
    <t>Martin</t>
  </si>
  <si>
    <t>Emma</t>
  </si>
  <si>
    <t>Christian</t>
  </si>
  <si>
    <t>May</t>
  </si>
  <si>
    <t>Grace</t>
  </si>
  <si>
    <t>McGrath</t>
  </si>
  <si>
    <t>McLean</t>
  </si>
  <si>
    <t>Irene</t>
  </si>
  <si>
    <t>Metcalfe</t>
  </si>
  <si>
    <t>Melanie</t>
  </si>
  <si>
    <t>Miller</t>
  </si>
  <si>
    <t>Lily</t>
  </si>
  <si>
    <t>Mills</t>
  </si>
  <si>
    <t>Julian</t>
  </si>
  <si>
    <t>Newman</t>
  </si>
  <si>
    <t>Elizabeth</t>
  </si>
  <si>
    <t>Nolan</t>
  </si>
  <si>
    <t>Paul</t>
  </si>
  <si>
    <t>David</t>
  </si>
  <si>
    <t>Ogden</t>
  </si>
  <si>
    <t>Oliver</t>
  </si>
  <si>
    <t>Anna</t>
  </si>
  <si>
    <t>Claire</t>
  </si>
  <si>
    <t>Paige</t>
  </si>
  <si>
    <t>Michael</t>
  </si>
  <si>
    <t>Parr</t>
  </si>
  <si>
    <t>Diane</t>
  </si>
  <si>
    <t>Payne</t>
  </si>
  <si>
    <t>Amelia</t>
  </si>
  <si>
    <t>Peters</t>
  </si>
  <si>
    <t>Virginia</t>
  </si>
  <si>
    <t>Jane</t>
  </si>
  <si>
    <t>Piper</t>
  </si>
  <si>
    <t>Frank</t>
  </si>
  <si>
    <t>Quinn</t>
  </si>
  <si>
    <t>Eric</t>
  </si>
  <si>
    <t>Randall</t>
  </si>
  <si>
    <t>Anne</t>
  </si>
  <si>
    <t>Rees</t>
  </si>
  <si>
    <t>Gavin</t>
  </si>
  <si>
    <t>Reid</t>
  </si>
  <si>
    <t>Charles</t>
  </si>
  <si>
    <t>Ross</t>
  </si>
  <si>
    <t>Zoe</t>
  </si>
  <si>
    <t>Russell</t>
  </si>
  <si>
    <t>Wanda</t>
  </si>
  <si>
    <t>Sanderson</t>
  </si>
  <si>
    <t>James</t>
  </si>
  <si>
    <t>Sharp</t>
  </si>
  <si>
    <t>Short</t>
  </si>
  <si>
    <t>Sebastian</t>
  </si>
  <si>
    <t>Skinner</t>
  </si>
  <si>
    <t>Stephen</t>
  </si>
  <si>
    <t>Jan</t>
  </si>
  <si>
    <t>Springer</t>
  </si>
  <si>
    <t>Harry</t>
  </si>
  <si>
    <t>Stewart</t>
  </si>
  <si>
    <t>Taylor</t>
  </si>
  <si>
    <t>Tucker</t>
  </si>
  <si>
    <t>Anthony</t>
  </si>
  <si>
    <t>Turner</t>
  </si>
  <si>
    <t>Steven</t>
  </si>
  <si>
    <t>Vaughan</t>
  </si>
  <si>
    <t>Richard</t>
  </si>
  <si>
    <t>Wallace</t>
  </si>
  <si>
    <t>Owen</t>
  </si>
  <si>
    <t>Walsh</t>
  </si>
  <si>
    <t>Watson</t>
  </si>
  <si>
    <t>Alexandra</t>
  </si>
  <si>
    <t>Welch</t>
  </si>
  <si>
    <t>White</t>
  </si>
  <si>
    <t>Peter</t>
  </si>
  <si>
    <t>Wilkins</t>
  </si>
  <si>
    <t>Total number of students</t>
  </si>
  <si>
    <t>Attendance per week</t>
  </si>
  <si>
    <t>Statistics Table</t>
  </si>
  <si>
    <t>Average</t>
  </si>
  <si>
    <t>Standard Deviation</t>
  </si>
  <si>
    <t>Median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</si>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</sst>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9" fontId="4" fillId="0" borderId="1" xfId="1" applyFont="1" applyFill="1" applyBorder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9" fontId="4" fillId="0" borderId="0" xfId="1" applyFont="1" applyFill="1" applyBorder="1" applyAlignment="1">
      <alignment horizontal="center" vertical="center"/>
    </xf>
    <xf numFmtId="10" fontId="4" fillId="0" borderId="0" xfId="1" applyNumberFormat="1" applyFon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Attendance</a:t>
            </a:r>
            <a:r>
              <a:rPr lang="en-US" b="1" baseline="0"/>
              <a:t> vs Overall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9486111111111112"/>
          <c:w val="0.8622594050743657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Question!$Q$2:$Q$101</c:f>
              <c:numCache>
                <c:formatCode>0%</c:formatCode>
                <c:ptCount val="100"/>
                <c:pt idx="0">
                  <c:v>0.27272727272727271</c:v>
                </c:pt>
                <c:pt idx="1">
                  <c:v>0.45454545454545453</c:v>
                </c:pt>
                <c:pt idx="2">
                  <c:v>0.45454545454545453</c:v>
                </c:pt>
                <c:pt idx="3">
                  <c:v>0.72727272727272729</c:v>
                </c:pt>
                <c:pt idx="4">
                  <c:v>0.27272727272727271</c:v>
                </c:pt>
                <c:pt idx="5">
                  <c:v>0.72727272727272729</c:v>
                </c:pt>
                <c:pt idx="6">
                  <c:v>0.54545454545454541</c:v>
                </c:pt>
                <c:pt idx="7">
                  <c:v>0.45454545454545453</c:v>
                </c:pt>
                <c:pt idx="8">
                  <c:v>0.54545454545454541</c:v>
                </c:pt>
                <c:pt idx="9">
                  <c:v>0.54545454545454541</c:v>
                </c:pt>
                <c:pt idx="10">
                  <c:v>0.36363636363636365</c:v>
                </c:pt>
                <c:pt idx="11">
                  <c:v>0.81818181818181823</c:v>
                </c:pt>
                <c:pt idx="12">
                  <c:v>0.63636363636363635</c:v>
                </c:pt>
                <c:pt idx="13">
                  <c:v>0.54545454545454541</c:v>
                </c:pt>
                <c:pt idx="14">
                  <c:v>0.36363636363636365</c:v>
                </c:pt>
                <c:pt idx="15">
                  <c:v>0.45454545454545453</c:v>
                </c:pt>
                <c:pt idx="16">
                  <c:v>0.72727272727272729</c:v>
                </c:pt>
                <c:pt idx="17">
                  <c:v>0.54545454545454541</c:v>
                </c:pt>
                <c:pt idx="18">
                  <c:v>0.54545454545454541</c:v>
                </c:pt>
                <c:pt idx="19">
                  <c:v>0.45454545454545453</c:v>
                </c:pt>
                <c:pt idx="20">
                  <c:v>0.63636363636363635</c:v>
                </c:pt>
                <c:pt idx="21">
                  <c:v>0.63636363636363635</c:v>
                </c:pt>
                <c:pt idx="22">
                  <c:v>0.63636363636363635</c:v>
                </c:pt>
                <c:pt idx="23">
                  <c:v>0.45454545454545453</c:v>
                </c:pt>
                <c:pt idx="24">
                  <c:v>0.45454545454545453</c:v>
                </c:pt>
                <c:pt idx="25">
                  <c:v>0.54545454545454541</c:v>
                </c:pt>
                <c:pt idx="26">
                  <c:v>0.27272727272727271</c:v>
                </c:pt>
                <c:pt idx="27">
                  <c:v>0.27272727272727271</c:v>
                </c:pt>
                <c:pt idx="28">
                  <c:v>0.63636363636363635</c:v>
                </c:pt>
                <c:pt idx="29">
                  <c:v>0.54545454545454541</c:v>
                </c:pt>
                <c:pt idx="30">
                  <c:v>0.63636363636363635</c:v>
                </c:pt>
                <c:pt idx="31">
                  <c:v>0.36363636363636365</c:v>
                </c:pt>
                <c:pt idx="32">
                  <c:v>0.45454545454545453</c:v>
                </c:pt>
                <c:pt idx="33">
                  <c:v>0.36363636363636365</c:v>
                </c:pt>
                <c:pt idx="34">
                  <c:v>0.54545454545454541</c:v>
                </c:pt>
                <c:pt idx="35">
                  <c:v>0.63636363636363635</c:v>
                </c:pt>
                <c:pt idx="36">
                  <c:v>0.63636363636363635</c:v>
                </c:pt>
                <c:pt idx="37">
                  <c:v>0.45454545454545453</c:v>
                </c:pt>
                <c:pt idx="38">
                  <c:v>0.63636363636363635</c:v>
                </c:pt>
                <c:pt idx="39">
                  <c:v>0.27272727272727271</c:v>
                </c:pt>
                <c:pt idx="40">
                  <c:v>0.54545454545454541</c:v>
                </c:pt>
                <c:pt idx="41">
                  <c:v>0.36363636363636365</c:v>
                </c:pt>
                <c:pt idx="42">
                  <c:v>0.72727272727272729</c:v>
                </c:pt>
                <c:pt idx="43">
                  <c:v>0.45454545454545453</c:v>
                </c:pt>
                <c:pt idx="44">
                  <c:v>0.36363636363636365</c:v>
                </c:pt>
                <c:pt idx="45">
                  <c:v>0.54545454545454541</c:v>
                </c:pt>
                <c:pt idx="46">
                  <c:v>0.54545454545454541</c:v>
                </c:pt>
                <c:pt idx="47">
                  <c:v>0.54545454545454541</c:v>
                </c:pt>
                <c:pt idx="48">
                  <c:v>0.63636363636363635</c:v>
                </c:pt>
                <c:pt idx="49">
                  <c:v>0.72727272727272729</c:v>
                </c:pt>
                <c:pt idx="50">
                  <c:v>0.36363636363636365</c:v>
                </c:pt>
                <c:pt idx="51">
                  <c:v>0.63636363636363635</c:v>
                </c:pt>
                <c:pt idx="52">
                  <c:v>0.45454545454545453</c:v>
                </c:pt>
                <c:pt idx="53">
                  <c:v>0.63636363636363635</c:v>
                </c:pt>
                <c:pt idx="54">
                  <c:v>0.36363636363636365</c:v>
                </c:pt>
                <c:pt idx="55">
                  <c:v>0.27272727272727271</c:v>
                </c:pt>
                <c:pt idx="56">
                  <c:v>0.45454545454545453</c:v>
                </c:pt>
                <c:pt idx="57">
                  <c:v>0.36363636363636365</c:v>
                </c:pt>
                <c:pt idx="58">
                  <c:v>0.54545454545454541</c:v>
                </c:pt>
                <c:pt idx="59">
                  <c:v>0.45454545454545453</c:v>
                </c:pt>
                <c:pt idx="60">
                  <c:v>0.54545454545454541</c:v>
                </c:pt>
                <c:pt idx="61">
                  <c:v>0.45454545454545453</c:v>
                </c:pt>
                <c:pt idx="62">
                  <c:v>0.54545454545454541</c:v>
                </c:pt>
                <c:pt idx="63">
                  <c:v>0.27272727272727271</c:v>
                </c:pt>
                <c:pt idx="64">
                  <c:v>0.54545454545454541</c:v>
                </c:pt>
                <c:pt idx="65">
                  <c:v>0.54545454545454541</c:v>
                </c:pt>
                <c:pt idx="66">
                  <c:v>0.45454545454545453</c:v>
                </c:pt>
                <c:pt idx="67">
                  <c:v>0.54545454545454541</c:v>
                </c:pt>
                <c:pt idx="68">
                  <c:v>0.45454545454545453</c:v>
                </c:pt>
                <c:pt idx="69">
                  <c:v>0.63636363636363635</c:v>
                </c:pt>
                <c:pt idx="70">
                  <c:v>0.63636363636363635</c:v>
                </c:pt>
                <c:pt idx="71">
                  <c:v>0.27272727272727271</c:v>
                </c:pt>
                <c:pt idx="72">
                  <c:v>0.45454545454545453</c:v>
                </c:pt>
                <c:pt idx="73">
                  <c:v>0.54545454545454541</c:v>
                </c:pt>
                <c:pt idx="74">
                  <c:v>0.54545454545454541</c:v>
                </c:pt>
                <c:pt idx="75">
                  <c:v>0.45454545454545453</c:v>
                </c:pt>
                <c:pt idx="76">
                  <c:v>0.36363636363636365</c:v>
                </c:pt>
                <c:pt idx="77">
                  <c:v>0.63636363636363635</c:v>
                </c:pt>
                <c:pt idx="78">
                  <c:v>0.54545454545454541</c:v>
                </c:pt>
                <c:pt idx="79">
                  <c:v>0.45454545454545453</c:v>
                </c:pt>
                <c:pt idx="80">
                  <c:v>0.72727272727272729</c:v>
                </c:pt>
                <c:pt idx="81">
                  <c:v>0.63636363636363635</c:v>
                </c:pt>
                <c:pt idx="82">
                  <c:v>0.63636363636363635</c:v>
                </c:pt>
                <c:pt idx="83">
                  <c:v>0.45454545454545453</c:v>
                </c:pt>
                <c:pt idx="84">
                  <c:v>0.63636363636363635</c:v>
                </c:pt>
                <c:pt idx="85">
                  <c:v>0.27272727272727271</c:v>
                </c:pt>
                <c:pt idx="86">
                  <c:v>0.36363636363636365</c:v>
                </c:pt>
                <c:pt idx="87">
                  <c:v>0.27272727272727271</c:v>
                </c:pt>
                <c:pt idx="88">
                  <c:v>0.54545454545454541</c:v>
                </c:pt>
                <c:pt idx="89">
                  <c:v>0.63636363636363635</c:v>
                </c:pt>
                <c:pt idx="90">
                  <c:v>0.72727272727272729</c:v>
                </c:pt>
                <c:pt idx="91">
                  <c:v>0.45454545454545453</c:v>
                </c:pt>
                <c:pt idx="92">
                  <c:v>0.54545454545454541</c:v>
                </c:pt>
                <c:pt idx="93">
                  <c:v>0.54545454545454541</c:v>
                </c:pt>
                <c:pt idx="94">
                  <c:v>0.18181818181818182</c:v>
                </c:pt>
                <c:pt idx="95">
                  <c:v>0.36363636363636365</c:v>
                </c:pt>
                <c:pt idx="96">
                  <c:v>0.63636363636363635</c:v>
                </c:pt>
                <c:pt idx="97">
                  <c:v>0.63636363636363635</c:v>
                </c:pt>
                <c:pt idx="98">
                  <c:v>0.36363636363636365</c:v>
                </c:pt>
                <c:pt idx="99">
                  <c:v>0.90909090909090906</c:v>
                </c:pt>
              </c:numCache>
            </c:numRef>
          </c:xVal>
          <c:yVal>
            <c:numRef>
              <c:f>Question!$U$2:$U$101</c:f>
              <c:numCache>
                <c:formatCode>0</c:formatCode>
                <c:ptCount val="100"/>
                <c:pt idx="0">
                  <c:v>65.333333333333329</c:v>
                </c:pt>
                <c:pt idx="1">
                  <c:v>65.333333333333329</c:v>
                </c:pt>
                <c:pt idx="2">
                  <c:v>76.666666666666671</c:v>
                </c:pt>
                <c:pt idx="3">
                  <c:v>47</c:v>
                </c:pt>
                <c:pt idx="4">
                  <c:v>39</c:v>
                </c:pt>
                <c:pt idx="5">
                  <c:v>64</c:v>
                </c:pt>
                <c:pt idx="6">
                  <c:v>45</c:v>
                </c:pt>
                <c:pt idx="7">
                  <c:v>60.666666666666664</c:v>
                </c:pt>
                <c:pt idx="8">
                  <c:v>52.666666666666664</c:v>
                </c:pt>
                <c:pt idx="9">
                  <c:v>86.333333333333329</c:v>
                </c:pt>
                <c:pt idx="10">
                  <c:v>48.333333333333336</c:v>
                </c:pt>
                <c:pt idx="11">
                  <c:v>60</c:v>
                </c:pt>
                <c:pt idx="12">
                  <c:v>89</c:v>
                </c:pt>
                <c:pt idx="13">
                  <c:v>56.333333333333336</c:v>
                </c:pt>
                <c:pt idx="14">
                  <c:v>75</c:v>
                </c:pt>
                <c:pt idx="15">
                  <c:v>63.333333333333336</c:v>
                </c:pt>
                <c:pt idx="16">
                  <c:v>35.666666666666664</c:v>
                </c:pt>
                <c:pt idx="17">
                  <c:v>73.666666666666671</c:v>
                </c:pt>
                <c:pt idx="18">
                  <c:v>61.333333333333336</c:v>
                </c:pt>
                <c:pt idx="19">
                  <c:v>42.666666666666664</c:v>
                </c:pt>
                <c:pt idx="20">
                  <c:v>40.333333333333336</c:v>
                </c:pt>
                <c:pt idx="21">
                  <c:v>65</c:v>
                </c:pt>
                <c:pt idx="22">
                  <c:v>45</c:v>
                </c:pt>
                <c:pt idx="23">
                  <c:v>58</c:v>
                </c:pt>
                <c:pt idx="24">
                  <c:v>52.666666666666664</c:v>
                </c:pt>
                <c:pt idx="25">
                  <c:v>68</c:v>
                </c:pt>
                <c:pt idx="26">
                  <c:v>74.666666666666671</c:v>
                </c:pt>
                <c:pt idx="27">
                  <c:v>62</c:v>
                </c:pt>
                <c:pt idx="28">
                  <c:v>40</c:v>
                </c:pt>
                <c:pt idx="29">
                  <c:v>42.666666666666664</c:v>
                </c:pt>
                <c:pt idx="30">
                  <c:v>71</c:v>
                </c:pt>
                <c:pt idx="31">
                  <c:v>64</c:v>
                </c:pt>
                <c:pt idx="32">
                  <c:v>46.666666666666664</c:v>
                </c:pt>
                <c:pt idx="33">
                  <c:v>66.333333333333329</c:v>
                </c:pt>
                <c:pt idx="34">
                  <c:v>46</c:v>
                </c:pt>
                <c:pt idx="35">
                  <c:v>49</c:v>
                </c:pt>
                <c:pt idx="36">
                  <c:v>39.333333333333336</c:v>
                </c:pt>
                <c:pt idx="37">
                  <c:v>49.333333333333336</c:v>
                </c:pt>
                <c:pt idx="38">
                  <c:v>56.666666666666664</c:v>
                </c:pt>
                <c:pt idx="39">
                  <c:v>51</c:v>
                </c:pt>
                <c:pt idx="40">
                  <c:v>57</c:v>
                </c:pt>
                <c:pt idx="41">
                  <c:v>68</c:v>
                </c:pt>
                <c:pt idx="42">
                  <c:v>35</c:v>
                </c:pt>
                <c:pt idx="43">
                  <c:v>38</c:v>
                </c:pt>
                <c:pt idx="44">
                  <c:v>49.666666666666664</c:v>
                </c:pt>
                <c:pt idx="45">
                  <c:v>48</c:v>
                </c:pt>
                <c:pt idx="46">
                  <c:v>75.333333333333329</c:v>
                </c:pt>
                <c:pt idx="47">
                  <c:v>33</c:v>
                </c:pt>
                <c:pt idx="48">
                  <c:v>70.666666666666671</c:v>
                </c:pt>
                <c:pt idx="49">
                  <c:v>69.333333333333329</c:v>
                </c:pt>
                <c:pt idx="50">
                  <c:v>65.333333333333329</c:v>
                </c:pt>
                <c:pt idx="51">
                  <c:v>73.666666666666671</c:v>
                </c:pt>
                <c:pt idx="52">
                  <c:v>68.333333333333329</c:v>
                </c:pt>
                <c:pt idx="53">
                  <c:v>72.666666666666671</c:v>
                </c:pt>
                <c:pt idx="54">
                  <c:v>49</c:v>
                </c:pt>
                <c:pt idx="55">
                  <c:v>49</c:v>
                </c:pt>
                <c:pt idx="56">
                  <c:v>75</c:v>
                </c:pt>
                <c:pt idx="57">
                  <c:v>43.333333333333336</c:v>
                </c:pt>
                <c:pt idx="58">
                  <c:v>58.666666666666664</c:v>
                </c:pt>
                <c:pt idx="59">
                  <c:v>72</c:v>
                </c:pt>
                <c:pt idx="60">
                  <c:v>59</c:v>
                </c:pt>
                <c:pt idx="61">
                  <c:v>50.666666666666664</c:v>
                </c:pt>
                <c:pt idx="62">
                  <c:v>55.666666666666664</c:v>
                </c:pt>
                <c:pt idx="63">
                  <c:v>47</c:v>
                </c:pt>
                <c:pt idx="64">
                  <c:v>20.333333333333332</c:v>
                </c:pt>
                <c:pt idx="65">
                  <c:v>48.666666666666664</c:v>
                </c:pt>
                <c:pt idx="66">
                  <c:v>41</c:v>
                </c:pt>
                <c:pt idx="67">
                  <c:v>60.666666666666664</c:v>
                </c:pt>
                <c:pt idx="68">
                  <c:v>48.666666666666664</c:v>
                </c:pt>
                <c:pt idx="69">
                  <c:v>61.666666666666664</c:v>
                </c:pt>
                <c:pt idx="70">
                  <c:v>59.666666666666664</c:v>
                </c:pt>
                <c:pt idx="71">
                  <c:v>71</c:v>
                </c:pt>
                <c:pt idx="72">
                  <c:v>56</c:v>
                </c:pt>
                <c:pt idx="73">
                  <c:v>64.666666666666671</c:v>
                </c:pt>
                <c:pt idx="74">
                  <c:v>36.666666666666664</c:v>
                </c:pt>
                <c:pt idx="75">
                  <c:v>43.333333333333336</c:v>
                </c:pt>
                <c:pt idx="76">
                  <c:v>58.666666666666664</c:v>
                </c:pt>
                <c:pt idx="77">
                  <c:v>60.333333333333336</c:v>
                </c:pt>
                <c:pt idx="78">
                  <c:v>38.333333333333336</c:v>
                </c:pt>
                <c:pt idx="79">
                  <c:v>33.666666666666664</c:v>
                </c:pt>
                <c:pt idx="80">
                  <c:v>70</c:v>
                </c:pt>
                <c:pt idx="81">
                  <c:v>79.666666666666671</c:v>
                </c:pt>
                <c:pt idx="82">
                  <c:v>60</c:v>
                </c:pt>
                <c:pt idx="83">
                  <c:v>74.666666666666671</c:v>
                </c:pt>
                <c:pt idx="84">
                  <c:v>48.666666666666664</c:v>
                </c:pt>
                <c:pt idx="85">
                  <c:v>49</c:v>
                </c:pt>
                <c:pt idx="86">
                  <c:v>43.666666666666664</c:v>
                </c:pt>
                <c:pt idx="87">
                  <c:v>41.333333333333336</c:v>
                </c:pt>
                <c:pt idx="88">
                  <c:v>65.666666666666671</c:v>
                </c:pt>
                <c:pt idx="89">
                  <c:v>64.666666666666671</c:v>
                </c:pt>
                <c:pt idx="90">
                  <c:v>73</c:v>
                </c:pt>
                <c:pt idx="91">
                  <c:v>57.666666666666664</c:v>
                </c:pt>
                <c:pt idx="92">
                  <c:v>47</c:v>
                </c:pt>
                <c:pt idx="93">
                  <c:v>70.333333333333329</c:v>
                </c:pt>
                <c:pt idx="94">
                  <c:v>62.333333333333336</c:v>
                </c:pt>
                <c:pt idx="95">
                  <c:v>48.333333333333336</c:v>
                </c:pt>
                <c:pt idx="96">
                  <c:v>57.666666666666664</c:v>
                </c:pt>
                <c:pt idx="97">
                  <c:v>43.333333333333336</c:v>
                </c:pt>
                <c:pt idx="98">
                  <c:v>71.666666666666671</c:v>
                </c:pt>
                <c:pt idx="99">
                  <c:v>44.333333333333336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C-4B79-A989-3481B3887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52431"/>
        <c:axId val="329937071"/>
      </c:scatterChart>
      <c:valAx>
        <c:axId val="32995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Attendance</a:t>
                </a:r>
                <a:r>
                  <a:rPr lang="en-US" b="1" baseline="0"/>
                  <a:t> %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37071"/>
        <c:crosses val="autoZero"/>
        <c:crossBetween val="midCat"/>
      </c:valAx>
      <c:valAx>
        <c:axId val="3299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Overall</a:t>
                </a:r>
                <a:r>
                  <a:rPr lang="en-US" b="1" baseline="0"/>
                  <a:t> Average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5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Attendance</a:t>
            </a:r>
            <a:r>
              <a:rPr lang="en-US" b="1" baseline="0"/>
              <a:t> per Week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Question!$E$102:$O$102</c:f>
              <c:numCache>
                <c:formatCode>0%</c:formatCode>
                <c:ptCount val="11"/>
                <c:pt idx="0">
                  <c:v>0.51</c:v>
                </c:pt>
                <c:pt idx="1">
                  <c:v>0.56000000000000005</c:v>
                </c:pt>
                <c:pt idx="2">
                  <c:v>0.5</c:v>
                </c:pt>
                <c:pt idx="3">
                  <c:v>0.54</c:v>
                </c:pt>
                <c:pt idx="4">
                  <c:v>0.51</c:v>
                </c:pt>
                <c:pt idx="5">
                  <c:v>0.51</c:v>
                </c:pt>
                <c:pt idx="6">
                  <c:v>0.51</c:v>
                </c:pt>
                <c:pt idx="7">
                  <c:v>0.44</c:v>
                </c:pt>
                <c:pt idx="8">
                  <c:v>0.53</c:v>
                </c:pt>
                <c:pt idx="9">
                  <c:v>0.51</c:v>
                </c:pt>
                <c:pt idx="1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0-4CBE-8DC5-F77B8B04F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807615"/>
        <c:axId val="3777951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Question!$E$1:$O$1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B90-4CBE-8DC5-F77B8B04FB7B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Question!$E$102:$O$102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0.51</c:v>
                      </c:pt>
                      <c:pt idx="1">
                        <c:v>0.56000000000000005</c:v>
                      </c:pt>
                      <c:pt idx="2">
                        <c:v>0.5</c:v>
                      </c:pt>
                      <c:pt idx="3">
                        <c:v>0.54</c:v>
                      </c:pt>
                      <c:pt idx="4">
                        <c:v>0.51</c:v>
                      </c:pt>
                      <c:pt idx="5">
                        <c:v>0.51</c:v>
                      </c:pt>
                      <c:pt idx="6">
                        <c:v>0.51</c:v>
                      </c:pt>
                      <c:pt idx="7">
                        <c:v>0.44</c:v>
                      </c:pt>
                      <c:pt idx="8">
                        <c:v>0.53</c:v>
                      </c:pt>
                      <c:pt idx="9">
                        <c:v>0.51</c:v>
                      </c:pt>
                      <c:pt idx="10">
                        <c:v>0.49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B90-4CBE-8DC5-F77B8B04FB7B}"/>
                  </c:ext>
                </c:extLst>
              </c15:ser>
            </c15:filteredBarSeries>
          </c:ext>
        </c:extLst>
      </c:barChart>
      <c:catAx>
        <c:axId val="37780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95135"/>
        <c:crosses val="autoZero"/>
        <c:auto val="1"/>
        <c:lblAlgn val="ctr"/>
        <c:lblOffset val="100"/>
        <c:noMultiLvlLbl val="0"/>
      </c:catAx>
      <c:valAx>
        <c:axId val="3777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Attendance</a:t>
                </a:r>
                <a:r>
                  <a:rPr lang="en-US" b="1" baseline="0"/>
                  <a:t> %</a:t>
                </a:r>
              </a:p>
            </c:rich>
          </c:tx>
          <c:layout>
            <c:manualLayout>
              <c:xMode val="edge"/>
              <c:yMode val="edge"/>
              <c:x val="2.2388059701492536E-2"/>
              <c:y val="0.37575612123826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0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1066800</xdr:colOff>
      <xdr:row>5</xdr:row>
      <xdr:rowOff>31750</xdr:rowOff>
    </xdr:from>
    <xdr:to>
      <xdr:col>32</xdr:col>
      <xdr:colOff>596900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25A54-2886-BF14-519D-915333E7C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12700</xdr:colOff>
      <xdr:row>25</xdr:row>
      <xdr:rowOff>63500</xdr:rowOff>
    </xdr:from>
    <xdr:to>
      <xdr:col>32</xdr:col>
      <xdr:colOff>596900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8CDB4-E1F4-A815-5EA2-B9DA88547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6"/>
  <sheetViews>
    <sheetView tabSelected="1" topLeftCell="K1" zoomScale="60" zoomScaleNormal="60" workbookViewId="0">
      <selection activeCell="AJ29" sqref="AJ29"/>
    </sheetView>
  </sheetViews>
  <sheetFormatPr defaultColWidth="9.109375" defaultRowHeight="15" x14ac:dyDescent="0.3"/>
  <cols>
    <col min="1" max="1" width="35.5546875" style="5" customWidth="1"/>
    <col min="2" max="2" width="29.6640625" style="5" customWidth="1"/>
    <col min="3" max="3" width="22.109375" style="3" customWidth="1"/>
    <col min="4" max="4" width="45.6640625" style="3" customWidth="1"/>
    <col min="5" max="7" width="11.109375" style="5" customWidth="1"/>
    <col min="8" max="8" width="13.88671875" style="5" customWidth="1"/>
    <col min="9" max="10" width="11.109375" style="5" customWidth="1"/>
    <col min="11" max="11" width="12.109375" style="5" customWidth="1"/>
    <col min="12" max="13" width="11.109375" style="5" customWidth="1"/>
    <col min="14" max="14" width="13.6640625" style="5" customWidth="1"/>
    <col min="15" max="15" width="11.5546875" style="5" customWidth="1"/>
    <col min="16" max="16" width="14" style="5" customWidth="1"/>
    <col min="17" max="17" width="28.44140625" style="5" customWidth="1"/>
    <col min="18" max="20" width="11.88671875" style="3" customWidth="1"/>
    <col min="21" max="21" width="14.88671875" style="3" customWidth="1"/>
    <col min="22" max="22" width="15.88671875" style="3" customWidth="1"/>
    <col min="23" max="16384" width="9.109375" style="3"/>
  </cols>
  <sheetData>
    <row r="1" spans="1:23" s="2" customFormat="1" ht="5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9" t="s">
        <v>9</v>
      </c>
    </row>
    <row r="2" spans="1:23" ht="15.6" x14ac:dyDescent="0.3">
      <c r="A2" s="10">
        <v>75657.361152076177</v>
      </c>
      <c r="B2" s="7" t="s">
        <v>10</v>
      </c>
      <c r="C2" s="8" t="s">
        <v>11</v>
      </c>
      <c r="D2" s="7" t="s">
        <v>12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8">
        <v>0</v>
      </c>
      <c r="M2" s="8">
        <v>1</v>
      </c>
      <c r="N2" s="8">
        <v>0</v>
      </c>
      <c r="O2" s="8">
        <v>0</v>
      </c>
      <c r="P2" s="11">
        <f>SUM(E2:O2)</f>
        <v>3</v>
      </c>
      <c r="Q2" s="12">
        <f>P2/11</f>
        <v>0.27272727272727271</v>
      </c>
      <c r="R2" s="4">
        <v>53</v>
      </c>
      <c r="S2" s="4">
        <v>47</v>
      </c>
      <c r="T2" s="4">
        <v>96</v>
      </c>
      <c r="U2" s="11">
        <f>AVERAGE(R2:T2)</f>
        <v>65.333333333333329</v>
      </c>
      <c r="V2" s="21" t="s">
        <v>13</v>
      </c>
      <c r="W2" s="6">
        <v>11</v>
      </c>
    </row>
    <row r="3" spans="1:23" x14ac:dyDescent="0.3">
      <c r="A3" s="10">
        <v>6363.0708097194729</v>
      </c>
      <c r="B3" s="7" t="s">
        <v>14</v>
      </c>
      <c r="C3" s="8" t="s">
        <v>15</v>
      </c>
      <c r="D3" s="7" t="s">
        <v>16</v>
      </c>
      <c r="E3" s="8">
        <v>0</v>
      </c>
      <c r="F3" s="8">
        <v>0</v>
      </c>
      <c r="G3" s="8">
        <v>1</v>
      </c>
      <c r="H3" s="8">
        <v>1</v>
      </c>
      <c r="I3" s="8">
        <v>0</v>
      </c>
      <c r="J3" s="8">
        <v>0</v>
      </c>
      <c r="K3" s="8">
        <v>1</v>
      </c>
      <c r="L3" s="8">
        <v>0</v>
      </c>
      <c r="M3" s="8">
        <v>1</v>
      </c>
      <c r="N3" s="8">
        <v>0</v>
      </c>
      <c r="O3" s="8">
        <v>1</v>
      </c>
      <c r="P3" s="11">
        <f t="shared" ref="P3:P66" si="0">SUM(E3:O3)</f>
        <v>5</v>
      </c>
      <c r="Q3" s="12">
        <f t="shared" ref="Q3:Q66" si="1">P3/11</f>
        <v>0.45454545454545453</v>
      </c>
      <c r="R3" s="4">
        <v>39</v>
      </c>
      <c r="S3" s="4">
        <v>74</v>
      </c>
      <c r="T3" s="4">
        <v>83</v>
      </c>
      <c r="U3" s="11">
        <f t="shared" ref="U3:U66" si="2">AVERAGE(R3:T3)</f>
        <v>65.333333333333329</v>
      </c>
      <c r="V3" s="21"/>
    </row>
    <row r="4" spans="1:23" x14ac:dyDescent="0.3">
      <c r="A4" s="10">
        <v>25665.585534357051</v>
      </c>
      <c r="B4" s="7" t="s">
        <v>17</v>
      </c>
      <c r="C4" s="8" t="s">
        <v>15</v>
      </c>
      <c r="D4" s="7" t="s">
        <v>12</v>
      </c>
      <c r="E4" s="8">
        <v>0</v>
      </c>
      <c r="F4" s="8">
        <v>1</v>
      </c>
      <c r="G4" s="8">
        <v>0</v>
      </c>
      <c r="H4" s="8">
        <v>1</v>
      </c>
      <c r="I4" s="8">
        <v>1</v>
      </c>
      <c r="J4" s="8">
        <v>1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11">
        <f t="shared" si="0"/>
        <v>5</v>
      </c>
      <c r="Q4" s="12">
        <f t="shared" si="1"/>
        <v>0.45454545454545453</v>
      </c>
      <c r="R4" s="4">
        <v>92</v>
      </c>
      <c r="S4" s="4">
        <v>99</v>
      </c>
      <c r="T4" s="4">
        <v>39</v>
      </c>
      <c r="U4" s="11">
        <f t="shared" si="2"/>
        <v>76.666666666666671</v>
      </c>
    </row>
    <row r="5" spans="1:23" x14ac:dyDescent="0.3">
      <c r="A5" s="10">
        <v>40563.410980212459</v>
      </c>
      <c r="B5" s="7" t="s">
        <v>18</v>
      </c>
      <c r="C5" s="8" t="s">
        <v>19</v>
      </c>
      <c r="D5" s="7" t="s">
        <v>20</v>
      </c>
      <c r="E5" s="8">
        <v>0</v>
      </c>
      <c r="F5" s="8">
        <v>1</v>
      </c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11">
        <f t="shared" si="0"/>
        <v>8</v>
      </c>
      <c r="Q5" s="12">
        <f t="shared" si="1"/>
        <v>0.72727272727272729</v>
      </c>
      <c r="R5" s="4">
        <v>72</v>
      </c>
      <c r="S5" s="4">
        <v>54</v>
      </c>
      <c r="T5" s="4">
        <v>15</v>
      </c>
      <c r="U5" s="11">
        <f t="shared" si="2"/>
        <v>47</v>
      </c>
    </row>
    <row r="6" spans="1:23" x14ac:dyDescent="0.3">
      <c r="A6" s="10">
        <v>87385.406262264558</v>
      </c>
      <c r="B6" s="7" t="s">
        <v>21</v>
      </c>
      <c r="C6" s="8" t="s">
        <v>22</v>
      </c>
      <c r="D6" s="7" t="s">
        <v>12</v>
      </c>
      <c r="E6" s="8">
        <v>0</v>
      </c>
      <c r="F6" s="8">
        <v>1</v>
      </c>
      <c r="G6" s="8">
        <v>1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11">
        <f t="shared" si="0"/>
        <v>3</v>
      </c>
      <c r="Q6" s="12">
        <f t="shared" si="1"/>
        <v>0.27272727272727271</v>
      </c>
      <c r="R6" s="4">
        <v>26</v>
      </c>
      <c r="S6" s="4">
        <v>48</v>
      </c>
      <c r="T6" s="4">
        <v>43</v>
      </c>
      <c r="U6" s="11">
        <f t="shared" si="2"/>
        <v>39</v>
      </c>
    </row>
    <row r="7" spans="1:23" x14ac:dyDescent="0.3">
      <c r="A7" s="10">
        <v>91869.745001444942</v>
      </c>
      <c r="B7" s="7" t="s">
        <v>23</v>
      </c>
      <c r="C7" s="8" t="s">
        <v>24</v>
      </c>
      <c r="D7" s="7" t="s">
        <v>16</v>
      </c>
      <c r="E7" s="8">
        <v>0</v>
      </c>
      <c r="F7" s="8">
        <v>1</v>
      </c>
      <c r="G7" s="8">
        <v>1</v>
      </c>
      <c r="H7" s="8">
        <v>1</v>
      </c>
      <c r="I7" s="8">
        <v>0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0</v>
      </c>
      <c r="P7" s="11">
        <f t="shared" si="0"/>
        <v>8</v>
      </c>
      <c r="Q7" s="12">
        <f t="shared" si="1"/>
        <v>0.72727272727272729</v>
      </c>
      <c r="R7" s="4">
        <v>57</v>
      </c>
      <c r="S7" s="4">
        <v>65</v>
      </c>
      <c r="T7" s="4">
        <v>70</v>
      </c>
      <c r="U7" s="11">
        <f t="shared" si="2"/>
        <v>64</v>
      </c>
    </row>
    <row r="8" spans="1:23" x14ac:dyDescent="0.3">
      <c r="A8" s="10">
        <v>26099.477540837834</v>
      </c>
      <c r="B8" s="7" t="s">
        <v>25</v>
      </c>
      <c r="C8" s="8" t="s">
        <v>26</v>
      </c>
      <c r="D8" s="7" t="s">
        <v>20</v>
      </c>
      <c r="E8" s="8">
        <v>1</v>
      </c>
      <c r="F8" s="8">
        <v>1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1</v>
      </c>
      <c r="P8" s="11">
        <f t="shared" si="0"/>
        <v>6</v>
      </c>
      <c r="Q8" s="12">
        <f t="shared" si="1"/>
        <v>0.54545454545454541</v>
      </c>
      <c r="R8" s="4">
        <v>69</v>
      </c>
      <c r="S8" s="4">
        <v>31</v>
      </c>
      <c r="T8" s="4">
        <v>35</v>
      </c>
      <c r="U8" s="11">
        <f t="shared" si="2"/>
        <v>45</v>
      </c>
    </row>
    <row r="9" spans="1:23" x14ac:dyDescent="0.3">
      <c r="A9" s="10">
        <v>88709.226671016266</v>
      </c>
      <c r="B9" s="7" t="s">
        <v>27</v>
      </c>
      <c r="C9" s="8" t="s">
        <v>28</v>
      </c>
      <c r="D9" s="7" t="s">
        <v>12</v>
      </c>
      <c r="E9" s="8">
        <v>1</v>
      </c>
      <c r="F9" s="8">
        <v>0</v>
      </c>
      <c r="G9" s="8">
        <v>0</v>
      </c>
      <c r="H9" s="8">
        <v>0</v>
      </c>
      <c r="I9" s="8">
        <v>1</v>
      </c>
      <c r="J9" s="8">
        <v>1</v>
      </c>
      <c r="K9" s="8">
        <v>0</v>
      </c>
      <c r="L9" s="8">
        <v>1</v>
      </c>
      <c r="M9" s="8">
        <v>0</v>
      </c>
      <c r="N9" s="8">
        <v>0</v>
      </c>
      <c r="O9" s="8">
        <v>1</v>
      </c>
      <c r="P9" s="11">
        <f t="shared" si="0"/>
        <v>5</v>
      </c>
      <c r="Q9" s="12">
        <f t="shared" si="1"/>
        <v>0.45454545454545453</v>
      </c>
      <c r="R9" s="4">
        <v>91</v>
      </c>
      <c r="S9" s="4">
        <v>70</v>
      </c>
      <c r="T9" s="4">
        <v>21</v>
      </c>
      <c r="U9" s="11">
        <f t="shared" si="2"/>
        <v>60.666666666666664</v>
      </c>
    </row>
    <row r="10" spans="1:23" x14ac:dyDescent="0.3">
      <c r="A10" s="10">
        <v>89127.446675155967</v>
      </c>
      <c r="B10" s="7" t="s">
        <v>29</v>
      </c>
      <c r="C10" s="8" t="s">
        <v>30</v>
      </c>
      <c r="D10" s="7" t="s">
        <v>12</v>
      </c>
      <c r="E10" s="8">
        <v>1</v>
      </c>
      <c r="F10" s="8">
        <v>1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1</v>
      </c>
      <c r="N10" s="8">
        <v>1</v>
      </c>
      <c r="O10" s="8">
        <v>0</v>
      </c>
      <c r="P10" s="11">
        <f t="shared" si="0"/>
        <v>6</v>
      </c>
      <c r="Q10" s="12">
        <f t="shared" si="1"/>
        <v>0.54545454545454541</v>
      </c>
      <c r="R10" s="4">
        <v>100</v>
      </c>
      <c r="S10" s="4">
        <v>15</v>
      </c>
      <c r="T10" s="4">
        <v>43</v>
      </c>
      <c r="U10" s="11">
        <f t="shared" si="2"/>
        <v>52.666666666666664</v>
      </c>
    </row>
    <row r="11" spans="1:23" x14ac:dyDescent="0.3">
      <c r="A11" s="10">
        <v>28710.202247247063</v>
      </c>
      <c r="B11" s="7" t="s">
        <v>31</v>
      </c>
      <c r="C11" s="8" t="s">
        <v>32</v>
      </c>
      <c r="D11" s="7" t="s">
        <v>33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1</v>
      </c>
      <c r="K11" s="8">
        <v>1</v>
      </c>
      <c r="L11" s="8">
        <v>1</v>
      </c>
      <c r="M11" s="8">
        <v>1</v>
      </c>
      <c r="N11" s="8">
        <v>0</v>
      </c>
      <c r="O11" s="8">
        <v>0</v>
      </c>
      <c r="P11" s="11">
        <f t="shared" si="0"/>
        <v>6</v>
      </c>
      <c r="Q11" s="12">
        <f t="shared" si="1"/>
        <v>0.54545454545454541</v>
      </c>
      <c r="R11" s="4">
        <v>88</v>
      </c>
      <c r="S11" s="4">
        <v>80</v>
      </c>
      <c r="T11" s="4">
        <v>91</v>
      </c>
      <c r="U11" s="11">
        <f t="shared" si="2"/>
        <v>86.333333333333329</v>
      </c>
    </row>
    <row r="12" spans="1:23" x14ac:dyDescent="0.3">
      <c r="A12" s="10">
        <v>82100.04905272153</v>
      </c>
      <c r="B12" s="7" t="s">
        <v>34</v>
      </c>
      <c r="C12" s="8" t="s">
        <v>35</v>
      </c>
      <c r="D12" s="7" t="s">
        <v>12</v>
      </c>
      <c r="E12" s="8">
        <v>0</v>
      </c>
      <c r="F12" s="8">
        <v>1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1</v>
      </c>
      <c r="P12" s="11">
        <f t="shared" si="0"/>
        <v>4</v>
      </c>
      <c r="Q12" s="12">
        <f t="shared" si="1"/>
        <v>0.36363636363636365</v>
      </c>
      <c r="R12" s="4">
        <v>52</v>
      </c>
      <c r="S12" s="4">
        <v>51</v>
      </c>
      <c r="T12" s="4">
        <v>42</v>
      </c>
      <c r="U12" s="11">
        <f t="shared" si="2"/>
        <v>48.333333333333336</v>
      </c>
    </row>
    <row r="13" spans="1:23" x14ac:dyDescent="0.3">
      <c r="A13" s="10">
        <v>26825.902294356129</v>
      </c>
      <c r="B13" s="7" t="s">
        <v>36</v>
      </c>
      <c r="C13" s="8" t="s">
        <v>35</v>
      </c>
      <c r="D13" s="7" t="s">
        <v>12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0</v>
      </c>
      <c r="L13" s="8">
        <v>1</v>
      </c>
      <c r="M13" s="8">
        <v>1</v>
      </c>
      <c r="N13" s="8">
        <v>0</v>
      </c>
      <c r="O13" s="8">
        <v>1</v>
      </c>
      <c r="P13" s="11">
        <f t="shared" si="0"/>
        <v>9</v>
      </c>
      <c r="Q13" s="12">
        <f t="shared" si="1"/>
        <v>0.81818181818181823</v>
      </c>
      <c r="R13" s="4">
        <v>56</v>
      </c>
      <c r="S13" s="4">
        <v>88</v>
      </c>
      <c r="T13" s="4">
        <v>36</v>
      </c>
      <c r="U13" s="11">
        <f t="shared" si="2"/>
        <v>60</v>
      </c>
    </row>
    <row r="14" spans="1:23" x14ac:dyDescent="0.3">
      <c r="A14" s="10">
        <v>17900.768646915778</v>
      </c>
      <c r="B14" s="7" t="s">
        <v>37</v>
      </c>
      <c r="C14" s="8" t="s">
        <v>38</v>
      </c>
      <c r="D14" s="7" t="s">
        <v>33</v>
      </c>
      <c r="E14" s="8">
        <v>0</v>
      </c>
      <c r="F14" s="8">
        <v>1</v>
      </c>
      <c r="G14" s="8">
        <v>1</v>
      </c>
      <c r="H14" s="8">
        <v>1</v>
      </c>
      <c r="I14" s="8">
        <v>0</v>
      </c>
      <c r="J14" s="8">
        <v>1</v>
      </c>
      <c r="K14" s="8">
        <v>0</v>
      </c>
      <c r="L14" s="8">
        <v>1</v>
      </c>
      <c r="M14" s="8">
        <v>0</v>
      </c>
      <c r="N14" s="8">
        <v>1</v>
      </c>
      <c r="O14" s="8">
        <v>1</v>
      </c>
      <c r="P14" s="11">
        <f t="shared" si="0"/>
        <v>7</v>
      </c>
      <c r="Q14" s="12">
        <f t="shared" si="1"/>
        <v>0.63636363636363635</v>
      </c>
      <c r="R14" s="4">
        <v>96</v>
      </c>
      <c r="S14" s="4">
        <v>80</v>
      </c>
      <c r="T14" s="4">
        <v>91</v>
      </c>
      <c r="U14" s="11">
        <f t="shared" si="2"/>
        <v>89</v>
      </c>
    </row>
    <row r="15" spans="1:23" x14ac:dyDescent="0.3">
      <c r="A15" s="10">
        <v>49529.239038828608</v>
      </c>
      <c r="B15" s="7" t="s">
        <v>39</v>
      </c>
      <c r="C15" s="8" t="s">
        <v>38</v>
      </c>
      <c r="D15" s="7" t="s">
        <v>20</v>
      </c>
      <c r="E15" s="8">
        <v>1</v>
      </c>
      <c r="F15" s="8">
        <v>0</v>
      </c>
      <c r="G15" s="8">
        <v>0</v>
      </c>
      <c r="H15" s="8">
        <v>1</v>
      </c>
      <c r="I15" s="8">
        <v>0</v>
      </c>
      <c r="J15" s="8">
        <v>1</v>
      </c>
      <c r="K15" s="8">
        <v>1</v>
      </c>
      <c r="L15" s="8">
        <v>1</v>
      </c>
      <c r="M15" s="8">
        <v>0</v>
      </c>
      <c r="N15" s="8">
        <v>1</v>
      </c>
      <c r="O15" s="8">
        <v>0</v>
      </c>
      <c r="P15" s="11">
        <f t="shared" si="0"/>
        <v>6</v>
      </c>
      <c r="Q15" s="12">
        <f t="shared" si="1"/>
        <v>0.54545454545454541</v>
      </c>
      <c r="R15" s="4">
        <v>45</v>
      </c>
      <c r="S15" s="4">
        <v>43</v>
      </c>
      <c r="T15" s="4">
        <v>81</v>
      </c>
      <c r="U15" s="11">
        <f t="shared" si="2"/>
        <v>56.333333333333336</v>
      </c>
    </row>
    <row r="16" spans="1:23" x14ac:dyDescent="0.3">
      <c r="A16" s="10">
        <v>64473.406796206989</v>
      </c>
      <c r="B16" s="7" t="s">
        <v>40</v>
      </c>
      <c r="C16" s="8" t="s">
        <v>41</v>
      </c>
      <c r="D16" s="7" t="s">
        <v>20</v>
      </c>
      <c r="E16" s="8">
        <v>0</v>
      </c>
      <c r="F16" s="8">
        <v>0</v>
      </c>
      <c r="G16" s="8">
        <v>1</v>
      </c>
      <c r="H16" s="8">
        <v>1</v>
      </c>
      <c r="I16" s="8">
        <v>0</v>
      </c>
      <c r="J16" s="8">
        <v>1</v>
      </c>
      <c r="K16" s="8">
        <v>0</v>
      </c>
      <c r="L16" s="8">
        <v>0</v>
      </c>
      <c r="M16" s="8">
        <v>1</v>
      </c>
      <c r="N16" s="8">
        <v>0</v>
      </c>
      <c r="O16" s="8">
        <v>0</v>
      </c>
      <c r="P16" s="11">
        <f t="shared" si="0"/>
        <v>4</v>
      </c>
      <c r="Q16" s="12">
        <f t="shared" si="1"/>
        <v>0.36363636363636365</v>
      </c>
      <c r="R16" s="4">
        <v>50</v>
      </c>
      <c r="S16" s="4">
        <v>89</v>
      </c>
      <c r="T16" s="4">
        <v>86</v>
      </c>
      <c r="U16" s="11">
        <f t="shared" si="2"/>
        <v>75</v>
      </c>
    </row>
    <row r="17" spans="1:21" x14ac:dyDescent="0.3">
      <c r="A17" s="10">
        <v>83638.534695615395</v>
      </c>
      <c r="B17" s="7" t="s">
        <v>42</v>
      </c>
      <c r="C17" s="8" t="s">
        <v>43</v>
      </c>
      <c r="D17" s="7" t="s">
        <v>20</v>
      </c>
      <c r="E17" s="8">
        <v>1</v>
      </c>
      <c r="F17" s="8">
        <v>0</v>
      </c>
      <c r="G17" s="8">
        <v>1</v>
      </c>
      <c r="H17" s="8">
        <v>0</v>
      </c>
      <c r="I17" s="8">
        <v>1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11">
        <f t="shared" si="0"/>
        <v>5</v>
      </c>
      <c r="Q17" s="12">
        <f t="shared" si="1"/>
        <v>0.45454545454545453</v>
      </c>
      <c r="R17" s="4">
        <v>24</v>
      </c>
      <c r="S17" s="4">
        <v>70</v>
      </c>
      <c r="T17" s="4">
        <v>96</v>
      </c>
      <c r="U17" s="11">
        <f t="shared" si="2"/>
        <v>63.333333333333336</v>
      </c>
    </row>
    <row r="18" spans="1:21" x14ac:dyDescent="0.3">
      <c r="A18" s="10">
        <v>63148.479190888836</v>
      </c>
      <c r="B18" s="7" t="s">
        <v>44</v>
      </c>
      <c r="C18" s="8" t="s">
        <v>45</v>
      </c>
      <c r="D18" s="7" t="s">
        <v>20</v>
      </c>
      <c r="E18" s="8">
        <v>1</v>
      </c>
      <c r="F18" s="8">
        <v>1</v>
      </c>
      <c r="G18" s="8">
        <v>1</v>
      </c>
      <c r="H18" s="8">
        <v>0</v>
      </c>
      <c r="I18" s="8">
        <v>1</v>
      </c>
      <c r="J18" s="8">
        <v>1</v>
      </c>
      <c r="K18" s="8">
        <v>0</v>
      </c>
      <c r="L18" s="8">
        <v>0</v>
      </c>
      <c r="M18" s="8">
        <v>1</v>
      </c>
      <c r="N18" s="8">
        <v>1</v>
      </c>
      <c r="O18" s="8">
        <v>1</v>
      </c>
      <c r="P18" s="11">
        <f t="shared" si="0"/>
        <v>8</v>
      </c>
      <c r="Q18" s="12">
        <f t="shared" si="1"/>
        <v>0.72727272727272729</v>
      </c>
      <c r="R18" s="4">
        <v>22</v>
      </c>
      <c r="S18" s="4">
        <v>62</v>
      </c>
      <c r="T18" s="4">
        <v>23</v>
      </c>
      <c r="U18" s="11">
        <f t="shared" si="2"/>
        <v>35.666666666666664</v>
      </c>
    </row>
    <row r="19" spans="1:21" x14ac:dyDescent="0.3">
      <c r="A19" s="10">
        <v>69049.535590910891</v>
      </c>
      <c r="B19" s="7" t="s">
        <v>46</v>
      </c>
      <c r="C19" s="8" t="s">
        <v>47</v>
      </c>
      <c r="D19" s="7" t="s">
        <v>20</v>
      </c>
      <c r="E19" s="8">
        <v>1</v>
      </c>
      <c r="F19" s="8">
        <v>1</v>
      </c>
      <c r="G19" s="8">
        <v>0</v>
      </c>
      <c r="H19" s="8">
        <v>0</v>
      </c>
      <c r="I19" s="8">
        <v>1</v>
      </c>
      <c r="J19" s="8">
        <v>1</v>
      </c>
      <c r="K19" s="8">
        <v>0</v>
      </c>
      <c r="L19" s="8">
        <v>1</v>
      </c>
      <c r="M19" s="8">
        <v>1</v>
      </c>
      <c r="N19" s="8">
        <v>0</v>
      </c>
      <c r="O19" s="8">
        <v>0</v>
      </c>
      <c r="P19" s="11">
        <f t="shared" si="0"/>
        <v>6</v>
      </c>
      <c r="Q19" s="12">
        <f t="shared" si="1"/>
        <v>0.54545454545454541</v>
      </c>
      <c r="R19" s="4">
        <v>31</v>
      </c>
      <c r="S19" s="4">
        <v>90</v>
      </c>
      <c r="T19" s="4">
        <v>100</v>
      </c>
      <c r="U19" s="11">
        <f t="shared" si="2"/>
        <v>73.666666666666671</v>
      </c>
    </row>
    <row r="20" spans="1:21" x14ac:dyDescent="0.3">
      <c r="A20" s="10">
        <v>30221.003080469265</v>
      </c>
      <c r="B20" s="7" t="s">
        <v>48</v>
      </c>
      <c r="C20" s="8" t="s">
        <v>49</v>
      </c>
      <c r="D20" s="7" t="s">
        <v>16</v>
      </c>
      <c r="E20" s="8">
        <v>1</v>
      </c>
      <c r="F20" s="8">
        <v>0</v>
      </c>
      <c r="G20" s="8">
        <v>1</v>
      </c>
      <c r="H20" s="8">
        <v>1</v>
      </c>
      <c r="I20" s="8">
        <v>1</v>
      </c>
      <c r="J20" s="8">
        <v>0</v>
      </c>
      <c r="K20" s="8">
        <v>1</v>
      </c>
      <c r="L20" s="8">
        <v>1</v>
      </c>
      <c r="M20" s="8">
        <v>0</v>
      </c>
      <c r="N20" s="8">
        <v>0</v>
      </c>
      <c r="O20" s="8">
        <v>0</v>
      </c>
      <c r="P20" s="11">
        <f t="shared" si="0"/>
        <v>6</v>
      </c>
      <c r="Q20" s="12">
        <f t="shared" si="1"/>
        <v>0.54545454545454541</v>
      </c>
      <c r="R20" s="4">
        <v>88</v>
      </c>
      <c r="S20" s="4">
        <v>61</v>
      </c>
      <c r="T20" s="4">
        <v>35</v>
      </c>
      <c r="U20" s="11">
        <f t="shared" si="2"/>
        <v>61.333333333333336</v>
      </c>
    </row>
    <row r="21" spans="1:21" x14ac:dyDescent="0.3">
      <c r="A21" s="10">
        <v>25775.064231057255</v>
      </c>
      <c r="B21" s="7" t="s">
        <v>50</v>
      </c>
      <c r="C21" s="8" t="s">
        <v>49</v>
      </c>
      <c r="D21" s="7" t="s">
        <v>33</v>
      </c>
      <c r="E21" s="8">
        <v>0</v>
      </c>
      <c r="F21" s="8">
        <v>0</v>
      </c>
      <c r="G21" s="8">
        <v>1</v>
      </c>
      <c r="H21" s="8">
        <v>1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1</v>
      </c>
      <c r="O21" s="8">
        <v>0</v>
      </c>
      <c r="P21" s="11">
        <f t="shared" si="0"/>
        <v>5</v>
      </c>
      <c r="Q21" s="12">
        <f t="shared" si="1"/>
        <v>0.45454545454545453</v>
      </c>
      <c r="R21" s="4">
        <v>52</v>
      </c>
      <c r="S21" s="4">
        <v>27</v>
      </c>
      <c r="T21" s="4">
        <v>49</v>
      </c>
      <c r="U21" s="11">
        <f t="shared" si="2"/>
        <v>42.666666666666664</v>
      </c>
    </row>
    <row r="22" spans="1:21" x14ac:dyDescent="0.3">
      <c r="A22" s="10">
        <v>45699.243349211218</v>
      </c>
      <c r="B22" s="7" t="s">
        <v>51</v>
      </c>
      <c r="C22" s="8" t="s">
        <v>52</v>
      </c>
      <c r="D22" s="7" t="s">
        <v>12</v>
      </c>
      <c r="E22" s="8">
        <v>1</v>
      </c>
      <c r="F22" s="8">
        <v>0</v>
      </c>
      <c r="G22" s="8">
        <v>1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1</v>
      </c>
      <c r="N22" s="8">
        <v>1</v>
      </c>
      <c r="O22" s="8">
        <v>0</v>
      </c>
      <c r="P22" s="11">
        <f t="shared" si="0"/>
        <v>7</v>
      </c>
      <c r="Q22" s="12">
        <f t="shared" si="1"/>
        <v>0.63636363636363635</v>
      </c>
      <c r="R22" s="4">
        <v>38</v>
      </c>
      <c r="S22" s="4">
        <v>51</v>
      </c>
      <c r="T22" s="4">
        <v>32</v>
      </c>
      <c r="U22" s="11">
        <f t="shared" si="2"/>
        <v>40.333333333333336</v>
      </c>
    </row>
    <row r="23" spans="1:21" x14ac:dyDescent="0.3">
      <c r="A23" s="10">
        <v>34235.857353075451</v>
      </c>
      <c r="B23" s="7" t="s">
        <v>53</v>
      </c>
      <c r="C23" s="8" t="s">
        <v>54</v>
      </c>
      <c r="D23" s="7" t="s">
        <v>12</v>
      </c>
      <c r="E23" s="8">
        <v>1</v>
      </c>
      <c r="F23" s="8">
        <v>1</v>
      </c>
      <c r="G23" s="8">
        <v>1</v>
      </c>
      <c r="H23" s="8">
        <v>0</v>
      </c>
      <c r="I23" s="8">
        <v>1</v>
      </c>
      <c r="J23" s="8">
        <v>1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  <c r="P23" s="11">
        <f t="shared" si="0"/>
        <v>7</v>
      </c>
      <c r="Q23" s="12">
        <f t="shared" si="1"/>
        <v>0.63636363636363635</v>
      </c>
      <c r="R23" s="4">
        <v>67</v>
      </c>
      <c r="S23" s="4">
        <v>45</v>
      </c>
      <c r="T23" s="4">
        <v>83</v>
      </c>
      <c r="U23" s="11">
        <f t="shared" si="2"/>
        <v>65</v>
      </c>
    </row>
    <row r="24" spans="1:21" x14ac:dyDescent="0.3">
      <c r="A24" s="10">
        <v>57666.32922377465</v>
      </c>
      <c r="B24" s="7" t="s">
        <v>55</v>
      </c>
      <c r="C24" s="8" t="s">
        <v>56</v>
      </c>
      <c r="D24" s="7" t="s">
        <v>12</v>
      </c>
      <c r="E24" s="8">
        <v>1</v>
      </c>
      <c r="F24" s="8">
        <v>0</v>
      </c>
      <c r="G24" s="8">
        <v>0</v>
      </c>
      <c r="H24" s="8">
        <v>1</v>
      </c>
      <c r="I24" s="8">
        <v>1</v>
      </c>
      <c r="J24" s="8">
        <v>1</v>
      </c>
      <c r="K24" s="8">
        <v>1</v>
      </c>
      <c r="L24" s="8">
        <v>0</v>
      </c>
      <c r="M24" s="8">
        <v>0</v>
      </c>
      <c r="N24" s="8">
        <v>1</v>
      </c>
      <c r="O24" s="8">
        <v>1</v>
      </c>
      <c r="P24" s="11">
        <f t="shared" si="0"/>
        <v>7</v>
      </c>
      <c r="Q24" s="12">
        <f t="shared" si="1"/>
        <v>0.63636363636363635</v>
      </c>
      <c r="R24" s="4">
        <v>26</v>
      </c>
      <c r="S24" s="4">
        <v>70</v>
      </c>
      <c r="T24" s="4">
        <v>39</v>
      </c>
      <c r="U24" s="11">
        <f t="shared" si="2"/>
        <v>45</v>
      </c>
    </row>
    <row r="25" spans="1:21" x14ac:dyDescent="0.3">
      <c r="A25" s="10">
        <v>13985.360927160616</v>
      </c>
      <c r="B25" s="7" t="s">
        <v>57</v>
      </c>
      <c r="C25" s="8" t="s">
        <v>58</v>
      </c>
      <c r="D25" s="7" t="s">
        <v>12</v>
      </c>
      <c r="E25" s="8">
        <v>1</v>
      </c>
      <c r="F25" s="8">
        <v>0</v>
      </c>
      <c r="G25" s="8">
        <v>1</v>
      </c>
      <c r="H25" s="8">
        <v>0</v>
      </c>
      <c r="I25" s="8">
        <v>1</v>
      </c>
      <c r="J25" s="8">
        <v>0</v>
      </c>
      <c r="K25" s="8">
        <v>0</v>
      </c>
      <c r="L25" s="8">
        <v>1</v>
      </c>
      <c r="M25" s="8">
        <v>0</v>
      </c>
      <c r="N25" s="8">
        <v>1</v>
      </c>
      <c r="O25" s="8">
        <v>0</v>
      </c>
      <c r="P25" s="11">
        <f t="shared" si="0"/>
        <v>5</v>
      </c>
      <c r="Q25" s="12">
        <f t="shared" si="1"/>
        <v>0.45454545454545453</v>
      </c>
      <c r="R25" s="4">
        <v>70</v>
      </c>
      <c r="S25" s="4">
        <v>25</v>
      </c>
      <c r="T25" s="4">
        <v>79</v>
      </c>
      <c r="U25" s="11">
        <f t="shared" si="2"/>
        <v>58</v>
      </c>
    </row>
    <row r="26" spans="1:21" x14ac:dyDescent="0.3">
      <c r="A26" s="10">
        <v>37512.960871223644</v>
      </c>
      <c r="B26" s="7" t="s">
        <v>59</v>
      </c>
      <c r="C26" s="8" t="s">
        <v>60</v>
      </c>
      <c r="D26" s="7" t="s">
        <v>16</v>
      </c>
      <c r="E26" s="8">
        <v>0</v>
      </c>
      <c r="F26" s="8">
        <v>1</v>
      </c>
      <c r="G26" s="8">
        <v>0</v>
      </c>
      <c r="H26" s="8">
        <v>1</v>
      </c>
      <c r="I26" s="8">
        <v>0</v>
      </c>
      <c r="J26" s="8">
        <v>1</v>
      </c>
      <c r="K26" s="8">
        <v>1</v>
      </c>
      <c r="L26" s="8">
        <v>0</v>
      </c>
      <c r="M26" s="8">
        <v>0</v>
      </c>
      <c r="N26" s="8">
        <v>1</v>
      </c>
      <c r="O26" s="8">
        <v>0</v>
      </c>
      <c r="P26" s="11">
        <f t="shared" si="0"/>
        <v>5</v>
      </c>
      <c r="Q26" s="12">
        <f t="shared" si="1"/>
        <v>0.45454545454545453</v>
      </c>
      <c r="R26" s="4">
        <v>46</v>
      </c>
      <c r="S26" s="4">
        <v>80</v>
      </c>
      <c r="T26" s="4">
        <v>32</v>
      </c>
      <c r="U26" s="11">
        <f t="shared" si="2"/>
        <v>52.666666666666664</v>
      </c>
    </row>
    <row r="27" spans="1:21" x14ac:dyDescent="0.3">
      <c r="A27" s="10">
        <v>16059.355497326987</v>
      </c>
      <c r="B27" s="7" t="s">
        <v>10</v>
      </c>
      <c r="C27" s="8" t="s">
        <v>61</v>
      </c>
      <c r="D27" s="7" t="s">
        <v>12</v>
      </c>
      <c r="E27" s="8">
        <v>1</v>
      </c>
      <c r="F27" s="8">
        <v>0</v>
      </c>
      <c r="G27" s="8">
        <v>0</v>
      </c>
      <c r="H27" s="8">
        <v>1</v>
      </c>
      <c r="I27" s="8">
        <v>0</v>
      </c>
      <c r="J27" s="8">
        <v>1</v>
      </c>
      <c r="K27" s="8">
        <v>0</v>
      </c>
      <c r="L27" s="8">
        <v>1</v>
      </c>
      <c r="M27" s="8">
        <v>0</v>
      </c>
      <c r="N27" s="8">
        <v>1</v>
      </c>
      <c r="O27" s="8">
        <v>1</v>
      </c>
      <c r="P27" s="11">
        <f t="shared" si="0"/>
        <v>6</v>
      </c>
      <c r="Q27" s="12">
        <f t="shared" si="1"/>
        <v>0.54545454545454541</v>
      </c>
      <c r="R27" s="4">
        <v>83</v>
      </c>
      <c r="S27" s="4">
        <v>97</v>
      </c>
      <c r="T27" s="4">
        <v>24</v>
      </c>
      <c r="U27" s="11">
        <f t="shared" si="2"/>
        <v>68</v>
      </c>
    </row>
    <row r="28" spans="1:21" x14ac:dyDescent="0.3">
      <c r="A28" s="10">
        <v>8032.8685353352694</v>
      </c>
      <c r="B28" s="7" t="s">
        <v>62</v>
      </c>
      <c r="C28" s="8" t="s">
        <v>61</v>
      </c>
      <c r="D28" s="7" t="s">
        <v>16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1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11">
        <f t="shared" si="0"/>
        <v>3</v>
      </c>
      <c r="Q28" s="12">
        <f t="shared" si="1"/>
        <v>0.27272727272727271</v>
      </c>
      <c r="R28" s="4">
        <v>97</v>
      </c>
      <c r="S28" s="4">
        <v>51</v>
      </c>
      <c r="T28" s="4">
        <v>76</v>
      </c>
      <c r="U28" s="11">
        <f t="shared" si="2"/>
        <v>74.666666666666671</v>
      </c>
    </row>
    <row r="29" spans="1:21" x14ac:dyDescent="0.3">
      <c r="A29" s="10">
        <v>23677.118229060547</v>
      </c>
      <c r="B29" s="7" t="s">
        <v>63</v>
      </c>
      <c r="C29" s="8" t="s">
        <v>64</v>
      </c>
      <c r="D29" s="7" t="s">
        <v>16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</v>
      </c>
      <c r="N29" s="8">
        <v>0</v>
      </c>
      <c r="O29" s="8">
        <v>1</v>
      </c>
      <c r="P29" s="11">
        <f t="shared" si="0"/>
        <v>3</v>
      </c>
      <c r="Q29" s="12">
        <f t="shared" si="1"/>
        <v>0.27272727272727271</v>
      </c>
      <c r="R29" s="4">
        <v>40</v>
      </c>
      <c r="S29" s="4">
        <v>59</v>
      </c>
      <c r="T29" s="4">
        <v>87</v>
      </c>
      <c r="U29" s="11">
        <f t="shared" si="2"/>
        <v>62</v>
      </c>
    </row>
    <row r="30" spans="1:21" x14ac:dyDescent="0.3">
      <c r="A30" s="10">
        <v>80446.953648803988</v>
      </c>
      <c r="B30" s="7" t="s">
        <v>65</v>
      </c>
      <c r="C30" s="8" t="s">
        <v>66</v>
      </c>
      <c r="D30" s="7" t="s">
        <v>12</v>
      </c>
      <c r="E30" s="8">
        <v>0</v>
      </c>
      <c r="F30" s="8">
        <v>0</v>
      </c>
      <c r="G30" s="8">
        <v>1</v>
      </c>
      <c r="H30" s="8">
        <v>1</v>
      </c>
      <c r="I30" s="8">
        <v>1</v>
      </c>
      <c r="J30" s="8">
        <v>1</v>
      </c>
      <c r="K30" s="8">
        <v>0</v>
      </c>
      <c r="L30" s="8">
        <v>0</v>
      </c>
      <c r="M30" s="8">
        <v>1</v>
      </c>
      <c r="N30" s="8">
        <v>1</v>
      </c>
      <c r="O30" s="8">
        <v>1</v>
      </c>
      <c r="P30" s="11">
        <f t="shared" si="0"/>
        <v>7</v>
      </c>
      <c r="Q30" s="12">
        <f t="shared" si="1"/>
        <v>0.63636363636363635</v>
      </c>
      <c r="R30" s="4">
        <v>54</v>
      </c>
      <c r="S30" s="4">
        <v>21</v>
      </c>
      <c r="T30" s="4">
        <v>45</v>
      </c>
      <c r="U30" s="11">
        <f t="shared" si="2"/>
        <v>40</v>
      </c>
    </row>
    <row r="31" spans="1:21" x14ac:dyDescent="0.3">
      <c r="A31" s="10">
        <v>46007.358038639257</v>
      </c>
      <c r="B31" s="7" t="s">
        <v>67</v>
      </c>
      <c r="C31" s="8" t="s">
        <v>68</v>
      </c>
      <c r="D31" s="7" t="s">
        <v>33</v>
      </c>
      <c r="E31" s="8">
        <v>0</v>
      </c>
      <c r="F31" s="8">
        <v>1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1</v>
      </c>
      <c r="N31" s="8">
        <v>1</v>
      </c>
      <c r="O31" s="8">
        <v>1</v>
      </c>
      <c r="P31" s="11">
        <f t="shared" si="0"/>
        <v>6</v>
      </c>
      <c r="Q31" s="12">
        <f t="shared" si="1"/>
        <v>0.54545454545454541</v>
      </c>
      <c r="R31" s="4">
        <v>52</v>
      </c>
      <c r="S31" s="4">
        <v>19</v>
      </c>
      <c r="T31" s="4">
        <v>57</v>
      </c>
      <c r="U31" s="11">
        <f t="shared" si="2"/>
        <v>42.666666666666664</v>
      </c>
    </row>
    <row r="32" spans="1:21" x14ac:dyDescent="0.3">
      <c r="A32" s="10">
        <v>52891.743234862144</v>
      </c>
      <c r="B32" s="7" t="s">
        <v>69</v>
      </c>
      <c r="C32" s="8" t="s">
        <v>68</v>
      </c>
      <c r="D32" s="7" t="s">
        <v>33</v>
      </c>
      <c r="E32" s="8">
        <v>0</v>
      </c>
      <c r="F32" s="8">
        <v>0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0</v>
      </c>
      <c r="N32" s="8">
        <v>1</v>
      </c>
      <c r="O32" s="8">
        <v>0</v>
      </c>
      <c r="P32" s="11">
        <f t="shared" si="0"/>
        <v>7</v>
      </c>
      <c r="Q32" s="12">
        <f t="shared" si="1"/>
        <v>0.63636363636363635</v>
      </c>
      <c r="R32" s="4">
        <v>68</v>
      </c>
      <c r="S32" s="4">
        <v>87</v>
      </c>
      <c r="T32" s="4">
        <v>58</v>
      </c>
      <c r="U32" s="11">
        <f t="shared" si="2"/>
        <v>71</v>
      </c>
    </row>
    <row r="33" spans="1:21" x14ac:dyDescent="0.3">
      <c r="A33" s="10">
        <v>33383.203772251625</v>
      </c>
      <c r="B33" s="7" t="s">
        <v>70</v>
      </c>
      <c r="C33" s="8" t="s">
        <v>71</v>
      </c>
      <c r="D33" s="7" t="s">
        <v>12</v>
      </c>
      <c r="E33" s="8">
        <v>1</v>
      </c>
      <c r="F33" s="8">
        <v>1</v>
      </c>
      <c r="G33" s="8">
        <v>0</v>
      </c>
      <c r="H33" s="8">
        <v>0</v>
      </c>
      <c r="I33" s="8">
        <v>0</v>
      </c>
      <c r="J33" s="8">
        <v>0</v>
      </c>
      <c r="K33" s="8">
        <v>1</v>
      </c>
      <c r="L33" s="8">
        <v>1</v>
      </c>
      <c r="M33" s="8">
        <v>0</v>
      </c>
      <c r="N33" s="8">
        <v>0</v>
      </c>
      <c r="O33" s="8">
        <v>0</v>
      </c>
      <c r="P33" s="11">
        <f t="shared" si="0"/>
        <v>4</v>
      </c>
      <c r="Q33" s="12">
        <f t="shared" si="1"/>
        <v>0.36363636363636365</v>
      </c>
      <c r="R33" s="4">
        <v>95</v>
      </c>
      <c r="S33" s="4">
        <v>83</v>
      </c>
      <c r="T33" s="4">
        <v>14</v>
      </c>
      <c r="U33" s="11">
        <f t="shared" si="2"/>
        <v>64</v>
      </c>
    </row>
    <row r="34" spans="1:21" x14ac:dyDescent="0.3">
      <c r="A34" s="10">
        <v>74422.814703706346</v>
      </c>
      <c r="B34" s="7" t="s">
        <v>72</v>
      </c>
      <c r="C34" s="8" t="s">
        <v>73</v>
      </c>
      <c r="D34" s="7" t="s">
        <v>12</v>
      </c>
      <c r="E34" s="8">
        <v>0</v>
      </c>
      <c r="F34" s="8">
        <v>0</v>
      </c>
      <c r="G34" s="8">
        <v>1</v>
      </c>
      <c r="H34" s="8">
        <v>1</v>
      </c>
      <c r="I34" s="8">
        <v>0</v>
      </c>
      <c r="J34" s="8">
        <v>1</v>
      </c>
      <c r="K34" s="8">
        <v>0</v>
      </c>
      <c r="L34" s="8">
        <v>0</v>
      </c>
      <c r="M34" s="8">
        <v>0</v>
      </c>
      <c r="N34" s="8">
        <v>1</v>
      </c>
      <c r="O34" s="8">
        <v>1</v>
      </c>
      <c r="P34" s="11">
        <f t="shared" si="0"/>
        <v>5</v>
      </c>
      <c r="Q34" s="12">
        <f t="shared" si="1"/>
        <v>0.45454545454545453</v>
      </c>
      <c r="R34" s="4">
        <v>20</v>
      </c>
      <c r="S34" s="4">
        <v>29</v>
      </c>
      <c r="T34" s="4">
        <v>91</v>
      </c>
      <c r="U34" s="11">
        <f t="shared" si="2"/>
        <v>46.666666666666664</v>
      </c>
    </row>
    <row r="35" spans="1:21" x14ac:dyDescent="0.3">
      <c r="A35" s="10">
        <v>20498.259867851932</v>
      </c>
      <c r="B35" s="7" t="s">
        <v>74</v>
      </c>
      <c r="C35" s="8" t="s">
        <v>75</v>
      </c>
      <c r="D35" s="7" t="s">
        <v>20</v>
      </c>
      <c r="E35" s="8">
        <v>1</v>
      </c>
      <c r="F35" s="8">
        <v>0</v>
      </c>
      <c r="G35" s="8">
        <v>1</v>
      </c>
      <c r="H35" s="8">
        <v>1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11">
        <f t="shared" si="0"/>
        <v>4</v>
      </c>
      <c r="Q35" s="12">
        <f t="shared" si="1"/>
        <v>0.36363636363636365</v>
      </c>
      <c r="R35" s="4">
        <v>62</v>
      </c>
      <c r="S35" s="4">
        <v>88</v>
      </c>
      <c r="T35" s="4">
        <v>49</v>
      </c>
      <c r="U35" s="11">
        <f t="shared" si="2"/>
        <v>66.333333333333329</v>
      </c>
    </row>
    <row r="36" spans="1:21" x14ac:dyDescent="0.3">
      <c r="A36" s="10">
        <v>28682.577148252287</v>
      </c>
      <c r="B36" s="7" t="s">
        <v>76</v>
      </c>
      <c r="C36" s="8" t="s">
        <v>77</v>
      </c>
      <c r="D36" s="7" t="s">
        <v>33</v>
      </c>
      <c r="E36" s="8">
        <v>0</v>
      </c>
      <c r="F36" s="8">
        <v>1</v>
      </c>
      <c r="G36" s="8">
        <v>0</v>
      </c>
      <c r="H36" s="8">
        <v>1</v>
      </c>
      <c r="I36" s="8">
        <v>0</v>
      </c>
      <c r="J36" s="8">
        <v>1</v>
      </c>
      <c r="K36" s="8">
        <v>0</v>
      </c>
      <c r="L36" s="8">
        <v>0</v>
      </c>
      <c r="M36" s="8">
        <v>1</v>
      </c>
      <c r="N36" s="8">
        <v>1</v>
      </c>
      <c r="O36" s="8">
        <v>1</v>
      </c>
      <c r="P36" s="11">
        <f t="shared" si="0"/>
        <v>6</v>
      </c>
      <c r="Q36" s="12">
        <f t="shared" si="1"/>
        <v>0.54545454545454541</v>
      </c>
      <c r="R36" s="4">
        <v>35</v>
      </c>
      <c r="S36" s="4">
        <v>70</v>
      </c>
      <c r="T36" s="4">
        <v>33</v>
      </c>
      <c r="U36" s="11">
        <f t="shared" si="2"/>
        <v>46</v>
      </c>
    </row>
    <row r="37" spans="1:21" x14ac:dyDescent="0.3">
      <c r="A37" s="10">
        <v>26172.480147270493</v>
      </c>
      <c r="B37" s="7" t="s">
        <v>78</v>
      </c>
      <c r="C37" s="8" t="s">
        <v>79</v>
      </c>
      <c r="D37" s="7" t="s">
        <v>16</v>
      </c>
      <c r="E37" s="8">
        <v>1</v>
      </c>
      <c r="F37" s="8">
        <v>0</v>
      </c>
      <c r="G37" s="8">
        <v>1</v>
      </c>
      <c r="H37" s="8">
        <v>0</v>
      </c>
      <c r="I37" s="8">
        <v>0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0</v>
      </c>
      <c r="P37" s="11">
        <f t="shared" si="0"/>
        <v>7</v>
      </c>
      <c r="Q37" s="12">
        <f t="shared" si="1"/>
        <v>0.63636363636363635</v>
      </c>
      <c r="R37" s="4">
        <v>49</v>
      </c>
      <c r="S37" s="4">
        <v>21</v>
      </c>
      <c r="T37" s="4">
        <v>77</v>
      </c>
      <c r="U37" s="11">
        <f t="shared" si="2"/>
        <v>49</v>
      </c>
    </row>
    <row r="38" spans="1:21" x14ac:dyDescent="0.3">
      <c r="A38" s="10">
        <v>42476.770087081248</v>
      </c>
      <c r="B38" s="7" t="s">
        <v>80</v>
      </c>
      <c r="C38" s="8" t="s">
        <v>81</v>
      </c>
      <c r="D38" s="7" t="s">
        <v>12</v>
      </c>
      <c r="E38" s="8">
        <v>0</v>
      </c>
      <c r="F38" s="8">
        <v>1</v>
      </c>
      <c r="G38" s="8">
        <v>1</v>
      </c>
      <c r="H38" s="8">
        <v>1</v>
      </c>
      <c r="I38" s="8">
        <v>0</v>
      </c>
      <c r="J38" s="8">
        <v>1</v>
      </c>
      <c r="K38" s="8">
        <v>0</v>
      </c>
      <c r="L38" s="8">
        <v>0</v>
      </c>
      <c r="M38" s="8">
        <v>1</v>
      </c>
      <c r="N38" s="8">
        <v>1</v>
      </c>
      <c r="O38" s="8">
        <v>1</v>
      </c>
      <c r="P38" s="11">
        <f t="shared" si="0"/>
        <v>7</v>
      </c>
      <c r="Q38" s="12">
        <f t="shared" si="1"/>
        <v>0.63636363636363635</v>
      </c>
      <c r="R38" s="4">
        <v>49</v>
      </c>
      <c r="S38" s="4">
        <v>37</v>
      </c>
      <c r="T38" s="4">
        <v>32</v>
      </c>
      <c r="U38" s="11">
        <f t="shared" si="2"/>
        <v>39.333333333333336</v>
      </c>
    </row>
    <row r="39" spans="1:21" x14ac:dyDescent="0.3">
      <c r="A39" s="10">
        <v>71921.50911348754</v>
      </c>
      <c r="B39" s="7" t="s">
        <v>82</v>
      </c>
      <c r="C39" s="8" t="s">
        <v>83</v>
      </c>
      <c r="D39" s="7" t="s">
        <v>12</v>
      </c>
      <c r="E39" s="8">
        <v>0</v>
      </c>
      <c r="F39" s="8">
        <v>1</v>
      </c>
      <c r="G39" s="8">
        <v>0</v>
      </c>
      <c r="H39" s="8">
        <v>1</v>
      </c>
      <c r="I39" s="8">
        <v>1</v>
      </c>
      <c r="J39" s="8">
        <v>1</v>
      </c>
      <c r="K39" s="8">
        <v>0</v>
      </c>
      <c r="L39" s="8">
        <v>0</v>
      </c>
      <c r="M39" s="8">
        <v>0</v>
      </c>
      <c r="N39" s="8">
        <v>1</v>
      </c>
      <c r="O39" s="8">
        <v>0</v>
      </c>
      <c r="P39" s="11">
        <f t="shared" si="0"/>
        <v>5</v>
      </c>
      <c r="Q39" s="12">
        <f t="shared" si="1"/>
        <v>0.45454545454545453</v>
      </c>
      <c r="R39" s="4">
        <v>34</v>
      </c>
      <c r="S39" s="4">
        <v>59</v>
      </c>
      <c r="T39" s="4">
        <v>55</v>
      </c>
      <c r="U39" s="11">
        <f t="shared" si="2"/>
        <v>49.333333333333336</v>
      </c>
    </row>
    <row r="40" spans="1:21" x14ac:dyDescent="0.3">
      <c r="A40" s="10">
        <v>95437.57957463729</v>
      </c>
      <c r="B40" s="7" t="s">
        <v>84</v>
      </c>
      <c r="C40" s="8" t="s">
        <v>85</v>
      </c>
      <c r="D40" s="7" t="s">
        <v>16</v>
      </c>
      <c r="E40" s="8">
        <v>1</v>
      </c>
      <c r="F40" s="8">
        <v>1</v>
      </c>
      <c r="G40" s="8">
        <v>1</v>
      </c>
      <c r="H40" s="8">
        <v>1</v>
      </c>
      <c r="I40" s="8">
        <v>0</v>
      </c>
      <c r="J40" s="8">
        <v>0</v>
      </c>
      <c r="K40" s="8">
        <v>1</v>
      </c>
      <c r="L40" s="8">
        <v>1</v>
      </c>
      <c r="M40" s="8">
        <v>0</v>
      </c>
      <c r="N40" s="8">
        <v>1</v>
      </c>
      <c r="O40" s="8">
        <v>0</v>
      </c>
      <c r="P40" s="11">
        <f t="shared" si="0"/>
        <v>7</v>
      </c>
      <c r="Q40" s="12">
        <f t="shared" si="1"/>
        <v>0.63636363636363635</v>
      </c>
      <c r="R40" s="4">
        <v>52</v>
      </c>
      <c r="S40" s="4">
        <v>22</v>
      </c>
      <c r="T40" s="4">
        <v>96</v>
      </c>
      <c r="U40" s="11">
        <f t="shared" si="2"/>
        <v>56.666666666666664</v>
      </c>
    </row>
    <row r="41" spans="1:21" x14ac:dyDescent="0.3">
      <c r="A41" s="10">
        <v>64373.575770020339</v>
      </c>
      <c r="B41" s="7" t="s">
        <v>17</v>
      </c>
      <c r="C41" s="8" t="s">
        <v>86</v>
      </c>
      <c r="D41" s="7" t="s">
        <v>87</v>
      </c>
      <c r="E41" s="8">
        <v>0</v>
      </c>
      <c r="F41" s="8">
        <v>0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1</v>
      </c>
      <c r="M41" s="8">
        <v>0</v>
      </c>
      <c r="N41" s="8">
        <v>0</v>
      </c>
      <c r="O41" s="8">
        <v>1</v>
      </c>
      <c r="P41" s="11">
        <f t="shared" si="0"/>
        <v>3</v>
      </c>
      <c r="Q41" s="12">
        <f t="shared" si="1"/>
        <v>0.27272727272727271</v>
      </c>
      <c r="R41" s="4">
        <v>80</v>
      </c>
      <c r="S41" s="4">
        <v>58</v>
      </c>
      <c r="T41" s="4">
        <v>15</v>
      </c>
      <c r="U41" s="11">
        <f t="shared" si="2"/>
        <v>51</v>
      </c>
    </row>
    <row r="42" spans="1:21" x14ac:dyDescent="0.3">
      <c r="A42" s="10">
        <v>97635.772200228763</v>
      </c>
      <c r="B42" s="7" t="s">
        <v>88</v>
      </c>
      <c r="C42" s="8" t="s">
        <v>89</v>
      </c>
      <c r="D42" s="7" t="s">
        <v>87</v>
      </c>
      <c r="E42" s="8">
        <v>1</v>
      </c>
      <c r="F42" s="8">
        <v>0</v>
      </c>
      <c r="G42" s="8">
        <v>1</v>
      </c>
      <c r="H42" s="8">
        <v>0</v>
      </c>
      <c r="I42" s="8">
        <v>1</v>
      </c>
      <c r="J42" s="8">
        <v>1</v>
      </c>
      <c r="K42" s="8">
        <v>1</v>
      </c>
      <c r="L42" s="8">
        <v>0</v>
      </c>
      <c r="M42" s="8">
        <v>0</v>
      </c>
      <c r="N42" s="8">
        <v>0</v>
      </c>
      <c r="O42" s="8">
        <v>1</v>
      </c>
      <c r="P42" s="11">
        <f t="shared" si="0"/>
        <v>6</v>
      </c>
      <c r="Q42" s="12">
        <f t="shared" si="1"/>
        <v>0.54545454545454541</v>
      </c>
      <c r="R42" s="4">
        <v>97</v>
      </c>
      <c r="S42" s="4">
        <v>14</v>
      </c>
      <c r="T42" s="4">
        <v>60</v>
      </c>
      <c r="U42" s="11">
        <f t="shared" si="2"/>
        <v>57</v>
      </c>
    </row>
    <row r="43" spans="1:21" x14ac:dyDescent="0.3">
      <c r="A43" s="10">
        <v>27495.667669596634</v>
      </c>
      <c r="B43" s="7" t="s">
        <v>90</v>
      </c>
      <c r="C43" s="8" t="s">
        <v>91</v>
      </c>
      <c r="D43" s="7" t="s">
        <v>87</v>
      </c>
      <c r="E43" s="8">
        <v>1</v>
      </c>
      <c r="F43" s="8">
        <v>0</v>
      </c>
      <c r="G43" s="8">
        <v>1</v>
      </c>
      <c r="H43" s="8">
        <v>0</v>
      </c>
      <c r="I43" s="8">
        <v>0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  <c r="O43" s="8">
        <v>0</v>
      </c>
      <c r="P43" s="11">
        <f t="shared" si="0"/>
        <v>4</v>
      </c>
      <c r="Q43" s="12">
        <f t="shared" si="1"/>
        <v>0.36363636363636365</v>
      </c>
      <c r="R43" s="4">
        <v>34</v>
      </c>
      <c r="S43" s="4">
        <v>71</v>
      </c>
      <c r="T43" s="4">
        <v>99</v>
      </c>
      <c r="U43" s="11">
        <f t="shared" si="2"/>
        <v>68</v>
      </c>
    </row>
    <row r="44" spans="1:21" x14ac:dyDescent="0.3">
      <c r="A44" s="10">
        <v>16918.349255800847</v>
      </c>
      <c r="B44" s="7" t="s">
        <v>92</v>
      </c>
      <c r="C44" s="8" t="s">
        <v>91</v>
      </c>
      <c r="D44" s="7" t="s">
        <v>16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0</v>
      </c>
      <c r="K44" s="8">
        <v>1</v>
      </c>
      <c r="L44" s="8">
        <v>1</v>
      </c>
      <c r="M44" s="8">
        <v>0</v>
      </c>
      <c r="N44" s="8">
        <v>0</v>
      </c>
      <c r="O44" s="8">
        <v>1</v>
      </c>
      <c r="P44" s="11">
        <f t="shared" si="0"/>
        <v>8</v>
      </c>
      <c r="Q44" s="12">
        <f t="shared" si="1"/>
        <v>0.72727272727272729</v>
      </c>
      <c r="R44" s="4">
        <v>36</v>
      </c>
      <c r="S44" s="4">
        <v>56</v>
      </c>
      <c r="T44" s="4">
        <v>13</v>
      </c>
      <c r="U44" s="11">
        <f t="shared" si="2"/>
        <v>35</v>
      </c>
    </row>
    <row r="45" spans="1:21" x14ac:dyDescent="0.3">
      <c r="A45" s="10">
        <v>80907.634060895318</v>
      </c>
      <c r="B45" s="7" t="s">
        <v>93</v>
      </c>
      <c r="C45" s="8" t="s">
        <v>94</v>
      </c>
      <c r="D45" s="7" t="s">
        <v>20</v>
      </c>
      <c r="E45" s="8">
        <v>1</v>
      </c>
      <c r="F45" s="8">
        <v>0</v>
      </c>
      <c r="G45" s="8">
        <v>0</v>
      </c>
      <c r="H45" s="8">
        <v>1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1</v>
      </c>
      <c r="O45" s="8">
        <v>1</v>
      </c>
      <c r="P45" s="11">
        <f t="shared" si="0"/>
        <v>5</v>
      </c>
      <c r="Q45" s="12">
        <f t="shared" si="1"/>
        <v>0.45454545454545453</v>
      </c>
      <c r="R45" s="4">
        <v>25</v>
      </c>
      <c r="S45" s="4">
        <v>11</v>
      </c>
      <c r="T45" s="4">
        <v>78</v>
      </c>
      <c r="U45" s="11">
        <f t="shared" si="2"/>
        <v>38</v>
      </c>
    </row>
    <row r="46" spans="1:21" x14ac:dyDescent="0.3">
      <c r="A46" s="10">
        <v>46153.44207676658</v>
      </c>
      <c r="B46" s="7" t="s">
        <v>95</v>
      </c>
      <c r="C46" s="8" t="s">
        <v>96</v>
      </c>
      <c r="D46" s="7" t="s">
        <v>33</v>
      </c>
      <c r="E46" s="8">
        <v>0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1</v>
      </c>
      <c r="L46" s="8">
        <v>1</v>
      </c>
      <c r="M46" s="8">
        <v>0</v>
      </c>
      <c r="N46" s="8">
        <v>0</v>
      </c>
      <c r="O46" s="8">
        <v>1</v>
      </c>
      <c r="P46" s="11">
        <f t="shared" si="0"/>
        <v>4</v>
      </c>
      <c r="Q46" s="12">
        <f t="shared" si="1"/>
        <v>0.36363636363636365</v>
      </c>
      <c r="R46" s="4">
        <v>70</v>
      </c>
      <c r="S46" s="4">
        <v>47</v>
      </c>
      <c r="T46" s="4">
        <v>32</v>
      </c>
      <c r="U46" s="11">
        <f t="shared" si="2"/>
        <v>49.666666666666664</v>
      </c>
    </row>
    <row r="47" spans="1:21" x14ac:dyDescent="0.3">
      <c r="A47" s="10">
        <v>2729.7925307137593</v>
      </c>
      <c r="B47" s="7" t="s">
        <v>97</v>
      </c>
      <c r="C47" s="8" t="s">
        <v>98</v>
      </c>
      <c r="D47" s="7" t="s">
        <v>33</v>
      </c>
      <c r="E47" s="8">
        <v>0</v>
      </c>
      <c r="F47" s="8">
        <v>0</v>
      </c>
      <c r="G47" s="8">
        <v>1</v>
      </c>
      <c r="H47" s="8">
        <v>0</v>
      </c>
      <c r="I47" s="8">
        <v>1</v>
      </c>
      <c r="J47" s="8">
        <v>1</v>
      </c>
      <c r="K47" s="8">
        <v>1</v>
      </c>
      <c r="L47" s="8">
        <v>0</v>
      </c>
      <c r="M47" s="8">
        <v>1</v>
      </c>
      <c r="N47" s="8">
        <v>1</v>
      </c>
      <c r="O47" s="8">
        <v>0</v>
      </c>
      <c r="P47" s="11">
        <f t="shared" si="0"/>
        <v>6</v>
      </c>
      <c r="Q47" s="12">
        <f t="shared" si="1"/>
        <v>0.54545454545454541</v>
      </c>
      <c r="R47" s="4">
        <v>24</v>
      </c>
      <c r="S47" s="4">
        <v>91</v>
      </c>
      <c r="T47" s="4">
        <v>29</v>
      </c>
      <c r="U47" s="11">
        <f t="shared" si="2"/>
        <v>48</v>
      </c>
    </row>
    <row r="48" spans="1:21" x14ac:dyDescent="0.3">
      <c r="A48" s="10">
        <v>77731.722732764945</v>
      </c>
      <c r="B48" s="7" t="s">
        <v>93</v>
      </c>
      <c r="C48" s="8" t="s">
        <v>99</v>
      </c>
      <c r="D48" s="7" t="s">
        <v>87</v>
      </c>
      <c r="E48" s="8">
        <v>1</v>
      </c>
      <c r="F48" s="8">
        <v>1</v>
      </c>
      <c r="G48" s="8">
        <v>0</v>
      </c>
      <c r="H48" s="8">
        <v>0</v>
      </c>
      <c r="I48" s="8">
        <v>1</v>
      </c>
      <c r="J48" s="8">
        <v>1</v>
      </c>
      <c r="K48" s="8">
        <v>0</v>
      </c>
      <c r="L48" s="8">
        <v>1</v>
      </c>
      <c r="M48" s="8">
        <v>1</v>
      </c>
      <c r="N48" s="8">
        <v>0</v>
      </c>
      <c r="O48" s="8">
        <v>0</v>
      </c>
      <c r="P48" s="11">
        <f t="shared" si="0"/>
        <v>6</v>
      </c>
      <c r="Q48" s="12">
        <f t="shared" si="1"/>
        <v>0.54545454545454541</v>
      </c>
      <c r="R48" s="4">
        <v>55</v>
      </c>
      <c r="S48" s="4">
        <v>78</v>
      </c>
      <c r="T48" s="4">
        <v>93</v>
      </c>
      <c r="U48" s="11">
        <f t="shared" si="2"/>
        <v>75.333333333333329</v>
      </c>
    </row>
    <row r="49" spans="1:21" x14ac:dyDescent="0.3">
      <c r="A49" s="10">
        <v>84695.855658531058</v>
      </c>
      <c r="B49" s="7" t="s">
        <v>100</v>
      </c>
      <c r="C49" s="8" t="s">
        <v>101</v>
      </c>
      <c r="D49" s="7" t="s">
        <v>12</v>
      </c>
      <c r="E49" s="8">
        <v>1</v>
      </c>
      <c r="F49" s="8">
        <v>0</v>
      </c>
      <c r="G49" s="8">
        <v>1</v>
      </c>
      <c r="H49" s="8">
        <v>0</v>
      </c>
      <c r="I49" s="8">
        <v>1</v>
      </c>
      <c r="J49" s="8">
        <v>0</v>
      </c>
      <c r="K49" s="8">
        <v>1</v>
      </c>
      <c r="L49" s="8">
        <v>0</v>
      </c>
      <c r="M49" s="8">
        <v>1</v>
      </c>
      <c r="N49" s="8">
        <v>1</v>
      </c>
      <c r="O49" s="8">
        <v>0</v>
      </c>
      <c r="P49" s="11">
        <f t="shared" si="0"/>
        <v>6</v>
      </c>
      <c r="Q49" s="12">
        <f t="shared" si="1"/>
        <v>0.54545454545454541</v>
      </c>
      <c r="R49" s="4">
        <v>22</v>
      </c>
      <c r="S49" s="4">
        <v>59</v>
      </c>
      <c r="T49" s="4">
        <v>18</v>
      </c>
      <c r="U49" s="11">
        <f t="shared" si="2"/>
        <v>33</v>
      </c>
    </row>
    <row r="50" spans="1:21" x14ac:dyDescent="0.3">
      <c r="A50" s="10">
        <v>5547.7188651309352</v>
      </c>
      <c r="B50" s="7" t="s">
        <v>102</v>
      </c>
      <c r="C50" s="8" t="s">
        <v>101</v>
      </c>
      <c r="D50" s="7" t="s">
        <v>33</v>
      </c>
      <c r="E50" s="8">
        <v>1</v>
      </c>
      <c r="F50" s="8">
        <v>1</v>
      </c>
      <c r="G50" s="8">
        <v>0</v>
      </c>
      <c r="H50" s="8">
        <v>1</v>
      </c>
      <c r="I50" s="8">
        <v>0</v>
      </c>
      <c r="J50" s="8">
        <v>1</v>
      </c>
      <c r="K50" s="8">
        <v>1</v>
      </c>
      <c r="L50" s="8">
        <v>0</v>
      </c>
      <c r="M50" s="8">
        <v>0</v>
      </c>
      <c r="N50" s="8">
        <v>1</v>
      </c>
      <c r="O50" s="8">
        <v>1</v>
      </c>
      <c r="P50" s="11">
        <f t="shared" si="0"/>
        <v>7</v>
      </c>
      <c r="Q50" s="12">
        <f t="shared" si="1"/>
        <v>0.63636363636363635</v>
      </c>
      <c r="R50" s="4">
        <v>53</v>
      </c>
      <c r="S50" s="4">
        <v>68</v>
      </c>
      <c r="T50" s="4">
        <v>91</v>
      </c>
      <c r="U50" s="11">
        <f t="shared" si="2"/>
        <v>70.666666666666671</v>
      </c>
    </row>
    <row r="51" spans="1:21" x14ac:dyDescent="0.3">
      <c r="A51" s="10">
        <v>88643.650122644423</v>
      </c>
      <c r="B51" s="7" t="s">
        <v>39</v>
      </c>
      <c r="C51" s="8" t="s">
        <v>101</v>
      </c>
      <c r="D51" s="7" t="s">
        <v>12</v>
      </c>
      <c r="E51" s="8">
        <v>1</v>
      </c>
      <c r="F51" s="8">
        <v>1</v>
      </c>
      <c r="G51" s="8">
        <v>0</v>
      </c>
      <c r="H51" s="8">
        <v>1</v>
      </c>
      <c r="I51" s="8">
        <v>1</v>
      </c>
      <c r="J51" s="8">
        <v>1</v>
      </c>
      <c r="K51" s="8">
        <v>1</v>
      </c>
      <c r="L51" s="8">
        <v>0</v>
      </c>
      <c r="M51" s="8">
        <v>1</v>
      </c>
      <c r="N51" s="8">
        <v>0</v>
      </c>
      <c r="O51" s="8">
        <v>1</v>
      </c>
      <c r="P51" s="11">
        <f t="shared" si="0"/>
        <v>8</v>
      </c>
      <c r="Q51" s="12">
        <f t="shared" si="1"/>
        <v>0.72727272727272729</v>
      </c>
      <c r="R51" s="4">
        <v>94</v>
      </c>
      <c r="S51" s="4">
        <v>68</v>
      </c>
      <c r="T51" s="4">
        <v>46</v>
      </c>
      <c r="U51" s="11">
        <f t="shared" si="2"/>
        <v>69.333333333333329</v>
      </c>
    </row>
    <row r="52" spans="1:21" x14ac:dyDescent="0.3">
      <c r="A52" s="10">
        <v>74798.248384579376</v>
      </c>
      <c r="B52" s="7" t="s">
        <v>103</v>
      </c>
      <c r="C52" s="8" t="s">
        <v>104</v>
      </c>
      <c r="D52" s="7" t="s">
        <v>12</v>
      </c>
      <c r="E52" s="8">
        <v>0</v>
      </c>
      <c r="F52" s="8">
        <v>0</v>
      </c>
      <c r="G52" s="8">
        <v>0</v>
      </c>
      <c r="H52" s="8">
        <v>0</v>
      </c>
      <c r="I52" s="8">
        <v>1</v>
      </c>
      <c r="J52" s="8">
        <v>1</v>
      </c>
      <c r="K52" s="8">
        <v>0</v>
      </c>
      <c r="L52" s="8">
        <v>0</v>
      </c>
      <c r="M52" s="8">
        <v>1</v>
      </c>
      <c r="N52" s="8">
        <v>1</v>
      </c>
      <c r="O52" s="8">
        <v>0</v>
      </c>
      <c r="P52" s="11">
        <f t="shared" si="0"/>
        <v>4</v>
      </c>
      <c r="Q52" s="12">
        <f t="shared" si="1"/>
        <v>0.36363636363636365</v>
      </c>
      <c r="R52" s="4">
        <v>96</v>
      </c>
      <c r="S52" s="4">
        <v>53</v>
      </c>
      <c r="T52" s="4">
        <v>47</v>
      </c>
      <c r="U52" s="11">
        <f t="shared" si="2"/>
        <v>65.333333333333329</v>
      </c>
    </row>
    <row r="53" spans="1:21" x14ac:dyDescent="0.3">
      <c r="A53" s="10">
        <v>10655.414075594361</v>
      </c>
      <c r="B53" s="7" t="s">
        <v>105</v>
      </c>
      <c r="C53" s="8" t="s">
        <v>106</v>
      </c>
      <c r="D53" s="7" t="s">
        <v>16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8">
        <v>1</v>
      </c>
      <c r="L53" s="8">
        <v>0</v>
      </c>
      <c r="M53" s="8">
        <v>0</v>
      </c>
      <c r="N53" s="8">
        <v>0</v>
      </c>
      <c r="O53" s="8">
        <v>0</v>
      </c>
      <c r="P53" s="11">
        <f t="shared" si="0"/>
        <v>7</v>
      </c>
      <c r="Q53" s="12">
        <f t="shared" si="1"/>
        <v>0.63636363636363635</v>
      </c>
      <c r="R53" s="4">
        <v>45</v>
      </c>
      <c r="S53" s="4">
        <v>81</v>
      </c>
      <c r="T53" s="4">
        <v>95</v>
      </c>
      <c r="U53" s="11">
        <f t="shared" si="2"/>
        <v>73.666666666666671</v>
      </c>
    </row>
    <row r="54" spans="1:21" x14ac:dyDescent="0.3">
      <c r="A54" s="10">
        <v>80243.203681255676</v>
      </c>
      <c r="B54" s="7" t="s">
        <v>51</v>
      </c>
      <c r="C54" s="8" t="s">
        <v>107</v>
      </c>
      <c r="D54" s="7" t="s">
        <v>87</v>
      </c>
      <c r="E54" s="8">
        <v>0</v>
      </c>
      <c r="F54" s="8">
        <v>1</v>
      </c>
      <c r="G54" s="8">
        <v>1</v>
      </c>
      <c r="H54" s="8">
        <v>0</v>
      </c>
      <c r="I54" s="8">
        <v>1</v>
      </c>
      <c r="J54" s="8">
        <v>0</v>
      </c>
      <c r="K54" s="8">
        <v>0</v>
      </c>
      <c r="L54" s="8">
        <v>1</v>
      </c>
      <c r="M54" s="8">
        <v>0</v>
      </c>
      <c r="N54" s="8">
        <v>0</v>
      </c>
      <c r="O54" s="8">
        <v>1</v>
      </c>
      <c r="P54" s="11">
        <f t="shared" si="0"/>
        <v>5</v>
      </c>
      <c r="Q54" s="12">
        <f t="shared" si="1"/>
        <v>0.45454545454545453</v>
      </c>
      <c r="R54" s="4">
        <v>44</v>
      </c>
      <c r="S54" s="4">
        <v>75</v>
      </c>
      <c r="T54" s="4">
        <v>86</v>
      </c>
      <c r="U54" s="11">
        <f t="shared" si="2"/>
        <v>68.333333333333329</v>
      </c>
    </row>
    <row r="55" spans="1:21" x14ac:dyDescent="0.3">
      <c r="A55" s="10">
        <v>79957.848076220267</v>
      </c>
      <c r="B55" s="7" t="s">
        <v>108</v>
      </c>
      <c r="C55" s="8" t="s">
        <v>109</v>
      </c>
      <c r="D55" s="7" t="s">
        <v>87</v>
      </c>
      <c r="E55" s="8">
        <v>0</v>
      </c>
      <c r="F55" s="8">
        <v>0</v>
      </c>
      <c r="G55" s="8">
        <v>1</v>
      </c>
      <c r="H55" s="8">
        <v>1</v>
      </c>
      <c r="I55" s="8">
        <v>1</v>
      </c>
      <c r="J55" s="8">
        <v>0</v>
      </c>
      <c r="K55" s="8">
        <v>1</v>
      </c>
      <c r="L55" s="8">
        <v>0</v>
      </c>
      <c r="M55" s="8">
        <v>1</v>
      </c>
      <c r="N55" s="8">
        <v>1</v>
      </c>
      <c r="O55" s="8">
        <v>1</v>
      </c>
      <c r="P55" s="11">
        <f t="shared" si="0"/>
        <v>7</v>
      </c>
      <c r="Q55" s="12">
        <f t="shared" si="1"/>
        <v>0.63636363636363635</v>
      </c>
      <c r="R55" s="4">
        <v>45</v>
      </c>
      <c r="S55" s="4">
        <v>100</v>
      </c>
      <c r="T55" s="4">
        <v>73</v>
      </c>
      <c r="U55" s="11">
        <f t="shared" si="2"/>
        <v>72.666666666666671</v>
      </c>
    </row>
    <row r="56" spans="1:21" x14ac:dyDescent="0.3">
      <c r="A56" s="10">
        <v>37134.303715928574</v>
      </c>
      <c r="B56" s="7" t="s">
        <v>110</v>
      </c>
      <c r="C56" s="8" t="s">
        <v>111</v>
      </c>
      <c r="D56" s="7" t="s">
        <v>87</v>
      </c>
      <c r="E56" s="8">
        <v>1</v>
      </c>
      <c r="F56" s="8">
        <v>1</v>
      </c>
      <c r="G56" s="8">
        <v>0</v>
      </c>
      <c r="H56" s="8">
        <v>1</v>
      </c>
      <c r="I56" s="8">
        <v>0</v>
      </c>
      <c r="J56" s="8">
        <v>0</v>
      </c>
      <c r="K56" s="8">
        <v>1</v>
      </c>
      <c r="L56" s="8">
        <v>0</v>
      </c>
      <c r="M56" s="8">
        <v>0</v>
      </c>
      <c r="N56" s="8">
        <v>0</v>
      </c>
      <c r="O56" s="8">
        <v>0</v>
      </c>
      <c r="P56" s="11">
        <f t="shared" si="0"/>
        <v>4</v>
      </c>
      <c r="Q56" s="12">
        <f t="shared" si="1"/>
        <v>0.36363636363636365</v>
      </c>
      <c r="R56" s="4">
        <v>74</v>
      </c>
      <c r="S56" s="4">
        <v>60</v>
      </c>
      <c r="T56" s="4">
        <v>13</v>
      </c>
      <c r="U56" s="11">
        <f t="shared" si="2"/>
        <v>49</v>
      </c>
    </row>
    <row r="57" spans="1:21" x14ac:dyDescent="0.3">
      <c r="A57" s="10">
        <v>38501.755375195091</v>
      </c>
      <c r="B57" s="7" t="s">
        <v>112</v>
      </c>
      <c r="C57" s="8" t="s">
        <v>111</v>
      </c>
      <c r="D57" s="7" t="s">
        <v>12</v>
      </c>
      <c r="E57" s="8">
        <v>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1</v>
      </c>
      <c r="N57" s="8">
        <v>0</v>
      </c>
      <c r="O57" s="8">
        <v>0</v>
      </c>
      <c r="P57" s="11">
        <f t="shared" si="0"/>
        <v>3</v>
      </c>
      <c r="Q57" s="12">
        <f t="shared" si="1"/>
        <v>0.27272727272727271</v>
      </c>
      <c r="R57" s="4">
        <v>58</v>
      </c>
      <c r="S57" s="4">
        <v>76</v>
      </c>
      <c r="T57" s="4">
        <v>13</v>
      </c>
      <c r="U57" s="11">
        <f t="shared" si="2"/>
        <v>49</v>
      </c>
    </row>
    <row r="58" spans="1:21" x14ac:dyDescent="0.3">
      <c r="A58" s="10">
        <v>24476.249157639286</v>
      </c>
      <c r="B58" s="7" t="s">
        <v>72</v>
      </c>
      <c r="C58" s="8" t="s">
        <v>113</v>
      </c>
      <c r="D58" s="7" t="s">
        <v>87</v>
      </c>
      <c r="E58" s="8">
        <v>0</v>
      </c>
      <c r="F58" s="8">
        <v>0</v>
      </c>
      <c r="G58" s="8">
        <v>1</v>
      </c>
      <c r="H58" s="8">
        <v>0</v>
      </c>
      <c r="I58" s="8">
        <v>0</v>
      </c>
      <c r="J58" s="8">
        <v>1</v>
      </c>
      <c r="K58" s="8">
        <v>1</v>
      </c>
      <c r="L58" s="8">
        <v>0</v>
      </c>
      <c r="M58" s="8">
        <v>0</v>
      </c>
      <c r="N58" s="8">
        <v>1</v>
      </c>
      <c r="O58" s="8">
        <v>1</v>
      </c>
      <c r="P58" s="11">
        <f t="shared" si="0"/>
        <v>5</v>
      </c>
      <c r="Q58" s="12">
        <f t="shared" si="1"/>
        <v>0.45454545454545453</v>
      </c>
      <c r="R58" s="4">
        <v>29</v>
      </c>
      <c r="S58" s="4">
        <v>100</v>
      </c>
      <c r="T58" s="4">
        <v>96</v>
      </c>
      <c r="U58" s="11">
        <f t="shared" si="2"/>
        <v>75</v>
      </c>
    </row>
    <row r="59" spans="1:21" x14ac:dyDescent="0.3">
      <c r="A59" s="10">
        <v>82490.024486758935</v>
      </c>
      <c r="B59" s="7" t="s">
        <v>114</v>
      </c>
      <c r="C59" s="8" t="s">
        <v>115</v>
      </c>
      <c r="D59" s="7" t="s">
        <v>16</v>
      </c>
      <c r="E59" s="8">
        <v>0</v>
      </c>
      <c r="F59" s="8">
        <v>0</v>
      </c>
      <c r="G59" s="8">
        <v>0</v>
      </c>
      <c r="H59" s="8">
        <v>1</v>
      </c>
      <c r="I59" s="8">
        <v>1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1</v>
      </c>
      <c r="P59" s="11">
        <f t="shared" si="0"/>
        <v>4</v>
      </c>
      <c r="Q59" s="12">
        <f t="shared" si="1"/>
        <v>0.36363636363636365</v>
      </c>
      <c r="R59" s="4">
        <v>35</v>
      </c>
      <c r="S59" s="4">
        <v>20</v>
      </c>
      <c r="T59" s="4">
        <v>75</v>
      </c>
      <c r="U59" s="11">
        <f t="shared" si="2"/>
        <v>43.333333333333336</v>
      </c>
    </row>
    <row r="60" spans="1:21" x14ac:dyDescent="0.3">
      <c r="A60" s="10">
        <v>35891.710103312471</v>
      </c>
      <c r="B60" s="7" t="s">
        <v>116</v>
      </c>
      <c r="C60" s="8" t="s">
        <v>117</v>
      </c>
      <c r="D60" s="7" t="s">
        <v>20</v>
      </c>
      <c r="E60" s="8">
        <v>1</v>
      </c>
      <c r="F60" s="8">
        <v>1</v>
      </c>
      <c r="G60" s="8">
        <v>0</v>
      </c>
      <c r="H60" s="8">
        <v>1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1</v>
      </c>
      <c r="O60" s="8">
        <v>1</v>
      </c>
      <c r="P60" s="11">
        <f t="shared" si="0"/>
        <v>6</v>
      </c>
      <c r="Q60" s="12">
        <f t="shared" si="1"/>
        <v>0.54545454545454541</v>
      </c>
      <c r="R60" s="4">
        <v>80</v>
      </c>
      <c r="S60" s="4">
        <v>52</v>
      </c>
      <c r="T60" s="4">
        <v>44</v>
      </c>
      <c r="U60" s="11">
        <f t="shared" si="2"/>
        <v>58.666666666666664</v>
      </c>
    </row>
    <row r="61" spans="1:21" x14ac:dyDescent="0.3">
      <c r="A61" s="10">
        <v>60579.291140515714</v>
      </c>
      <c r="B61" s="7" t="s">
        <v>118</v>
      </c>
      <c r="C61" s="8" t="s">
        <v>117</v>
      </c>
      <c r="D61" s="7" t="s">
        <v>16</v>
      </c>
      <c r="E61" s="8">
        <v>1</v>
      </c>
      <c r="F61" s="8">
        <v>1</v>
      </c>
      <c r="G61" s="8">
        <v>0</v>
      </c>
      <c r="H61" s="8">
        <v>0</v>
      </c>
      <c r="I61" s="8">
        <v>0</v>
      </c>
      <c r="J61" s="8">
        <v>0</v>
      </c>
      <c r="K61" s="8">
        <v>1</v>
      </c>
      <c r="L61" s="8">
        <v>0</v>
      </c>
      <c r="M61" s="8">
        <v>1</v>
      </c>
      <c r="N61" s="8">
        <v>0</v>
      </c>
      <c r="O61" s="8">
        <v>1</v>
      </c>
      <c r="P61" s="11">
        <f t="shared" si="0"/>
        <v>5</v>
      </c>
      <c r="Q61" s="12">
        <f t="shared" si="1"/>
        <v>0.45454545454545453</v>
      </c>
      <c r="R61" s="4">
        <v>75</v>
      </c>
      <c r="S61" s="4">
        <v>89</v>
      </c>
      <c r="T61" s="4">
        <v>52</v>
      </c>
      <c r="U61" s="11">
        <f t="shared" si="2"/>
        <v>72</v>
      </c>
    </row>
    <row r="62" spans="1:21" x14ac:dyDescent="0.3">
      <c r="A62" s="10">
        <v>31017.791673038366</v>
      </c>
      <c r="B62" s="7" t="s">
        <v>95</v>
      </c>
      <c r="C62" s="8" t="s">
        <v>117</v>
      </c>
      <c r="D62" s="7" t="s">
        <v>12</v>
      </c>
      <c r="E62" s="8">
        <v>0</v>
      </c>
      <c r="F62" s="8">
        <v>0</v>
      </c>
      <c r="G62" s="8">
        <v>1</v>
      </c>
      <c r="H62" s="8">
        <v>0</v>
      </c>
      <c r="I62" s="8">
        <v>1</v>
      </c>
      <c r="J62" s="8">
        <v>1</v>
      </c>
      <c r="K62" s="8">
        <v>1</v>
      </c>
      <c r="L62" s="8">
        <v>0</v>
      </c>
      <c r="M62" s="8">
        <v>1</v>
      </c>
      <c r="N62" s="8">
        <v>1</v>
      </c>
      <c r="O62" s="8">
        <v>0</v>
      </c>
      <c r="P62" s="11">
        <f t="shared" si="0"/>
        <v>6</v>
      </c>
      <c r="Q62" s="12">
        <f t="shared" si="1"/>
        <v>0.54545454545454541</v>
      </c>
      <c r="R62" s="4">
        <v>25</v>
      </c>
      <c r="S62" s="4">
        <v>74</v>
      </c>
      <c r="T62" s="4">
        <v>78</v>
      </c>
      <c r="U62" s="11">
        <f t="shared" si="2"/>
        <v>59</v>
      </c>
    </row>
    <row r="63" spans="1:21" x14ac:dyDescent="0.3">
      <c r="A63" s="10">
        <v>83686.525415212949</v>
      </c>
      <c r="B63" s="7" t="s">
        <v>119</v>
      </c>
      <c r="C63" s="8" t="s">
        <v>120</v>
      </c>
      <c r="D63" s="7" t="s">
        <v>20</v>
      </c>
      <c r="E63" s="8">
        <v>0</v>
      </c>
      <c r="F63" s="8">
        <v>0</v>
      </c>
      <c r="G63" s="8">
        <v>0</v>
      </c>
      <c r="H63" s="8">
        <v>1</v>
      </c>
      <c r="I63" s="8">
        <v>0</v>
      </c>
      <c r="J63" s="8">
        <v>1</v>
      </c>
      <c r="K63" s="8">
        <v>1</v>
      </c>
      <c r="L63" s="8">
        <v>1</v>
      </c>
      <c r="M63" s="8">
        <v>1</v>
      </c>
      <c r="N63" s="8">
        <v>0</v>
      </c>
      <c r="O63" s="8">
        <v>0</v>
      </c>
      <c r="P63" s="11">
        <f t="shared" si="0"/>
        <v>5</v>
      </c>
      <c r="Q63" s="12">
        <f t="shared" si="1"/>
        <v>0.45454545454545453</v>
      </c>
      <c r="R63" s="4">
        <v>75</v>
      </c>
      <c r="S63" s="4">
        <v>38</v>
      </c>
      <c r="T63" s="4">
        <v>39</v>
      </c>
      <c r="U63" s="11">
        <f t="shared" si="2"/>
        <v>50.666666666666664</v>
      </c>
    </row>
    <row r="64" spans="1:21" x14ac:dyDescent="0.3">
      <c r="A64" s="10">
        <v>46039.892567867159</v>
      </c>
      <c r="B64" s="7" t="s">
        <v>103</v>
      </c>
      <c r="C64" s="8" t="s">
        <v>120</v>
      </c>
      <c r="D64" s="7" t="s">
        <v>87</v>
      </c>
      <c r="E64" s="8">
        <v>0</v>
      </c>
      <c r="F64" s="8">
        <v>1</v>
      </c>
      <c r="G64" s="8">
        <v>0</v>
      </c>
      <c r="H64" s="8">
        <v>0</v>
      </c>
      <c r="I64" s="8">
        <v>0</v>
      </c>
      <c r="J64" s="8">
        <v>1</v>
      </c>
      <c r="K64" s="8">
        <v>1</v>
      </c>
      <c r="L64" s="8">
        <v>1</v>
      </c>
      <c r="M64" s="8">
        <v>1</v>
      </c>
      <c r="N64" s="8">
        <v>1</v>
      </c>
      <c r="O64" s="8">
        <v>0</v>
      </c>
      <c r="P64" s="11">
        <f t="shared" si="0"/>
        <v>6</v>
      </c>
      <c r="Q64" s="12">
        <f t="shared" si="1"/>
        <v>0.54545454545454541</v>
      </c>
      <c r="R64" s="4">
        <v>71</v>
      </c>
      <c r="S64" s="4">
        <v>80</v>
      </c>
      <c r="T64" s="4">
        <v>16</v>
      </c>
      <c r="U64" s="11">
        <f t="shared" si="2"/>
        <v>55.666666666666664</v>
      </c>
    </row>
    <row r="65" spans="1:21" x14ac:dyDescent="0.3">
      <c r="A65" s="10">
        <v>51391.791574584808</v>
      </c>
      <c r="B65" s="7" t="s">
        <v>114</v>
      </c>
      <c r="C65" s="8" t="s">
        <v>121</v>
      </c>
      <c r="D65" s="7" t="s">
        <v>16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8">
        <v>1</v>
      </c>
      <c r="N65" s="8">
        <v>0</v>
      </c>
      <c r="O65" s="8">
        <v>1</v>
      </c>
      <c r="P65" s="11">
        <f t="shared" si="0"/>
        <v>3</v>
      </c>
      <c r="Q65" s="12">
        <f t="shared" si="1"/>
        <v>0.27272727272727271</v>
      </c>
      <c r="R65" s="4">
        <v>83</v>
      </c>
      <c r="S65" s="4">
        <v>44</v>
      </c>
      <c r="T65" s="4">
        <v>14</v>
      </c>
      <c r="U65" s="11">
        <f t="shared" si="2"/>
        <v>47</v>
      </c>
    </row>
    <row r="66" spans="1:21" x14ac:dyDescent="0.3">
      <c r="A66" s="10">
        <v>59681.340136576408</v>
      </c>
      <c r="B66" s="7" t="s">
        <v>36</v>
      </c>
      <c r="C66" s="8" t="s">
        <v>121</v>
      </c>
      <c r="D66" s="7" t="s">
        <v>12</v>
      </c>
      <c r="E66" s="8">
        <v>0</v>
      </c>
      <c r="F66" s="8">
        <v>1</v>
      </c>
      <c r="G66" s="8">
        <v>1</v>
      </c>
      <c r="H66" s="8">
        <v>1</v>
      </c>
      <c r="I66" s="8">
        <v>0</v>
      </c>
      <c r="J66" s="8">
        <v>1</v>
      </c>
      <c r="K66" s="8">
        <v>1</v>
      </c>
      <c r="L66" s="8">
        <v>0</v>
      </c>
      <c r="M66" s="8">
        <v>1</v>
      </c>
      <c r="N66" s="8">
        <v>0</v>
      </c>
      <c r="O66" s="8">
        <v>0</v>
      </c>
      <c r="P66" s="11">
        <f t="shared" si="0"/>
        <v>6</v>
      </c>
      <c r="Q66" s="12">
        <f t="shared" si="1"/>
        <v>0.54545454545454541</v>
      </c>
      <c r="R66" s="4">
        <v>21</v>
      </c>
      <c r="S66" s="4">
        <v>29</v>
      </c>
      <c r="T66" s="4">
        <v>11</v>
      </c>
      <c r="U66" s="11">
        <f t="shared" si="2"/>
        <v>20.333333333333332</v>
      </c>
    </row>
    <row r="67" spans="1:21" x14ac:dyDescent="0.3">
      <c r="A67" s="10">
        <v>84387.149714357947</v>
      </c>
      <c r="B67" s="7" t="s">
        <v>122</v>
      </c>
      <c r="C67" s="8" t="s">
        <v>121</v>
      </c>
      <c r="D67" s="7" t="s">
        <v>33</v>
      </c>
      <c r="E67" s="8">
        <v>0</v>
      </c>
      <c r="F67" s="8">
        <v>0</v>
      </c>
      <c r="G67" s="8">
        <v>1</v>
      </c>
      <c r="H67" s="8">
        <v>1</v>
      </c>
      <c r="I67" s="8">
        <v>1</v>
      </c>
      <c r="J67" s="8">
        <v>1</v>
      </c>
      <c r="K67" s="8">
        <v>0</v>
      </c>
      <c r="L67" s="8">
        <v>0</v>
      </c>
      <c r="M67" s="8">
        <v>1</v>
      </c>
      <c r="N67" s="8">
        <v>0</v>
      </c>
      <c r="O67" s="8">
        <v>1</v>
      </c>
      <c r="P67" s="11">
        <f t="shared" ref="P67:P101" si="3">SUM(E67:O67)</f>
        <v>6</v>
      </c>
      <c r="Q67" s="12">
        <f t="shared" ref="Q67:Q101" si="4">P67/11</f>
        <v>0.54545454545454541</v>
      </c>
      <c r="R67" s="4">
        <v>96</v>
      </c>
      <c r="S67" s="4">
        <v>17</v>
      </c>
      <c r="T67" s="4">
        <v>33</v>
      </c>
      <c r="U67" s="11">
        <f t="shared" ref="U67:U101" si="5">AVERAGE(R67:T67)</f>
        <v>48.666666666666664</v>
      </c>
    </row>
    <row r="68" spans="1:21" x14ac:dyDescent="0.3">
      <c r="A68" s="10">
        <v>6193.9417723034903</v>
      </c>
      <c r="B68" s="7" t="s">
        <v>123</v>
      </c>
      <c r="C68" s="8" t="s">
        <v>121</v>
      </c>
      <c r="D68" s="7" t="s">
        <v>87</v>
      </c>
      <c r="E68" s="8">
        <v>1</v>
      </c>
      <c r="F68" s="8">
        <v>0</v>
      </c>
      <c r="G68" s="8">
        <v>0</v>
      </c>
      <c r="H68" s="8">
        <v>0</v>
      </c>
      <c r="I68" s="8">
        <v>1</v>
      </c>
      <c r="J68" s="8">
        <v>0</v>
      </c>
      <c r="K68" s="8">
        <v>1</v>
      </c>
      <c r="L68" s="8">
        <v>0</v>
      </c>
      <c r="M68" s="8">
        <v>1</v>
      </c>
      <c r="N68" s="8">
        <v>1</v>
      </c>
      <c r="O68" s="8">
        <v>0</v>
      </c>
      <c r="P68" s="11">
        <f t="shared" si="3"/>
        <v>5</v>
      </c>
      <c r="Q68" s="12">
        <f t="shared" si="4"/>
        <v>0.45454545454545453</v>
      </c>
      <c r="R68" s="4">
        <v>58</v>
      </c>
      <c r="S68" s="4">
        <v>26</v>
      </c>
      <c r="T68" s="4">
        <v>39</v>
      </c>
      <c r="U68" s="11">
        <f t="shared" si="5"/>
        <v>41</v>
      </c>
    </row>
    <row r="69" spans="1:21" x14ac:dyDescent="0.3">
      <c r="A69" s="10">
        <v>82159.203663900844</v>
      </c>
      <c r="B69" s="7" t="s">
        <v>105</v>
      </c>
      <c r="C69" s="8" t="s">
        <v>124</v>
      </c>
      <c r="D69" s="7" t="s">
        <v>12</v>
      </c>
      <c r="E69" s="8">
        <v>1</v>
      </c>
      <c r="F69" s="8">
        <v>0</v>
      </c>
      <c r="G69" s="8">
        <v>0</v>
      </c>
      <c r="H69" s="8">
        <v>1</v>
      </c>
      <c r="I69" s="8">
        <v>1</v>
      </c>
      <c r="J69" s="8">
        <v>0</v>
      </c>
      <c r="K69" s="8">
        <v>1</v>
      </c>
      <c r="L69" s="8">
        <v>0</v>
      </c>
      <c r="M69" s="8">
        <v>0</v>
      </c>
      <c r="N69" s="8">
        <v>1</v>
      </c>
      <c r="O69" s="8">
        <v>1</v>
      </c>
      <c r="P69" s="11">
        <f t="shared" si="3"/>
        <v>6</v>
      </c>
      <c r="Q69" s="12">
        <f t="shared" si="4"/>
        <v>0.54545454545454541</v>
      </c>
      <c r="R69" s="4">
        <v>26</v>
      </c>
      <c r="S69" s="4">
        <v>61</v>
      </c>
      <c r="T69" s="4">
        <v>95</v>
      </c>
      <c r="U69" s="11">
        <f t="shared" si="5"/>
        <v>60.666666666666664</v>
      </c>
    </row>
    <row r="70" spans="1:21" x14ac:dyDescent="0.3">
      <c r="A70" s="10">
        <v>72612.195806287447</v>
      </c>
      <c r="B70" s="7" t="s">
        <v>125</v>
      </c>
      <c r="C70" s="8" t="s">
        <v>126</v>
      </c>
      <c r="D70" s="7" t="s">
        <v>16</v>
      </c>
      <c r="E70" s="8">
        <v>1</v>
      </c>
      <c r="F70" s="8">
        <v>1</v>
      </c>
      <c r="G70" s="8">
        <v>1</v>
      </c>
      <c r="H70" s="8">
        <v>0</v>
      </c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1</v>
      </c>
      <c r="O70" s="8">
        <v>0</v>
      </c>
      <c r="P70" s="11">
        <f t="shared" si="3"/>
        <v>5</v>
      </c>
      <c r="Q70" s="12">
        <f t="shared" si="4"/>
        <v>0.45454545454545453</v>
      </c>
      <c r="R70" s="4">
        <v>25</v>
      </c>
      <c r="S70" s="4">
        <v>33</v>
      </c>
      <c r="T70" s="4">
        <v>88</v>
      </c>
      <c r="U70" s="11">
        <f t="shared" si="5"/>
        <v>48.666666666666664</v>
      </c>
    </row>
    <row r="71" spans="1:21" x14ac:dyDescent="0.3">
      <c r="A71" s="10">
        <v>74304.030234561462</v>
      </c>
      <c r="B71" s="7" t="s">
        <v>127</v>
      </c>
      <c r="C71" s="8" t="s">
        <v>128</v>
      </c>
      <c r="D71" s="7" t="s">
        <v>16</v>
      </c>
      <c r="E71" s="8">
        <v>1</v>
      </c>
      <c r="F71" s="8">
        <v>1</v>
      </c>
      <c r="G71" s="8">
        <v>1</v>
      </c>
      <c r="H71" s="8">
        <v>1</v>
      </c>
      <c r="I71" s="8">
        <v>0</v>
      </c>
      <c r="J71" s="8">
        <v>1</v>
      </c>
      <c r="K71" s="8">
        <v>1</v>
      </c>
      <c r="L71" s="8">
        <v>0</v>
      </c>
      <c r="M71" s="8">
        <v>1</v>
      </c>
      <c r="N71" s="8">
        <v>0</v>
      </c>
      <c r="O71" s="8">
        <v>0</v>
      </c>
      <c r="P71" s="11">
        <f t="shared" si="3"/>
        <v>7</v>
      </c>
      <c r="Q71" s="12">
        <f t="shared" si="4"/>
        <v>0.63636363636363635</v>
      </c>
      <c r="R71" s="4">
        <v>81</v>
      </c>
      <c r="S71" s="4">
        <v>25</v>
      </c>
      <c r="T71" s="4">
        <v>79</v>
      </c>
      <c r="U71" s="11">
        <f t="shared" si="5"/>
        <v>61.666666666666664</v>
      </c>
    </row>
    <row r="72" spans="1:21" x14ac:dyDescent="0.3">
      <c r="A72" s="10">
        <v>88697.24492407139</v>
      </c>
      <c r="B72" s="7" t="s">
        <v>129</v>
      </c>
      <c r="C72" s="8" t="s">
        <v>128</v>
      </c>
      <c r="D72" s="7" t="s">
        <v>12</v>
      </c>
      <c r="E72" s="8">
        <v>1</v>
      </c>
      <c r="F72" s="8">
        <v>1</v>
      </c>
      <c r="G72" s="8">
        <v>1</v>
      </c>
      <c r="H72" s="8">
        <v>0</v>
      </c>
      <c r="I72" s="8">
        <v>1</v>
      </c>
      <c r="J72" s="8">
        <v>0</v>
      </c>
      <c r="K72" s="8">
        <v>0</v>
      </c>
      <c r="L72" s="8">
        <v>0</v>
      </c>
      <c r="M72" s="8">
        <v>1</v>
      </c>
      <c r="N72" s="8">
        <v>1</v>
      </c>
      <c r="O72" s="8">
        <v>1</v>
      </c>
      <c r="P72" s="11">
        <f t="shared" si="3"/>
        <v>7</v>
      </c>
      <c r="Q72" s="12">
        <f t="shared" si="4"/>
        <v>0.63636363636363635</v>
      </c>
      <c r="R72" s="4">
        <v>75</v>
      </c>
      <c r="S72" s="4">
        <v>18</v>
      </c>
      <c r="T72" s="4">
        <v>86</v>
      </c>
      <c r="U72" s="11">
        <f t="shared" si="5"/>
        <v>59.666666666666664</v>
      </c>
    </row>
    <row r="73" spans="1:21" x14ac:dyDescent="0.3">
      <c r="A73" s="10">
        <v>17337.256540234936</v>
      </c>
      <c r="B73" s="7" t="s">
        <v>59</v>
      </c>
      <c r="C73" s="8" t="s">
        <v>130</v>
      </c>
      <c r="D73" s="7" t="s">
        <v>20</v>
      </c>
      <c r="E73" s="8">
        <v>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1</v>
      </c>
      <c r="M73" s="8">
        <v>0</v>
      </c>
      <c r="N73" s="8">
        <v>0</v>
      </c>
      <c r="O73" s="8">
        <v>1</v>
      </c>
      <c r="P73" s="11">
        <f t="shared" si="3"/>
        <v>3</v>
      </c>
      <c r="Q73" s="12">
        <f t="shared" si="4"/>
        <v>0.27272727272727271</v>
      </c>
      <c r="R73" s="4">
        <v>92</v>
      </c>
      <c r="S73" s="4">
        <v>40</v>
      </c>
      <c r="T73" s="4">
        <v>81</v>
      </c>
      <c r="U73" s="11">
        <f t="shared" si="5"/>
        <v>71</v>
      </c>
    </row>
    <row r="74" spans="1:21" x14ac:dyDescent="0.3">
      <c r="A74" s="10">
        <v>34439.204053526882</v>
      </c>
      <c r="B74" s="7" t="s">
        <v>131</v>
      </c>
      <c r="C74" s="8" t="s">
        <v>130</v>
      </c>
      <c r="D74" s="7" t="s">
        <v>20</v>
      </c>
      <c r="E74" s="8">
        <v>1</v>
      </c>
      <c r="F74" s="8">
        <v>1</v>
      </c>
      <c r="G74" s="8">
        <v>0</v>
      </c>
      <c r="H74" s="8">
        <v>1</v>
      </c>
      <c r="I74" s="8">
        <v>0</v>
      </c>
      <c r="J74" s="8">
        <v>1</v>
      </c>
      <c r="K74" s="8">
        <v>0</v>
      </c>
      <c r="L74" s="8">
        <v>0</v>
      </c>
      <c r="M74" s="8">
        <v>0</v>
      </c>
      <c r="N74" s="8">
        <v>0</v>
      </c>
      <c r="O74" s="8">
        <v>1</v>
      </c>
      <c r="P74" s="11">
        <f t="shared" si="3"/>
        <v>5</v>
      </c>
      <c r="Q74" s="12">
        <f t="shared" si="4"/>
        <v>0.45454545454545453</v>
      </c>
      <c r="R74" s="4">
        <v>74</v>
      </c>
      <c r="S74" s="4">
        <v>64</v>
      </c>
      <c r="T74" s="4">
        <v>30</v>
      </c>
      <c r="U74" s="11">
        <f t="shared" si="5"/>
        <v>56</v>
      </c>
    </row>
    <row r="75" spans="1:21" x14ac:dyDescent="0.3">
      <c r="A75" s="10">
        <v>17164.247783519739</v>
      </c>
      <c r="B75" s="7" t="s">
        <v>132</v>
      </c>
      <c r="C75" s="8" t="s">
        <v>133</v>
      </c>
      <c r="D75" s="7" t="s">
        <v>87</v>
      </c>
      <c r="E75" s="8">
        <v>0</v>
      </c>
      <c r="F75" s="8">
        <v>1</v>
      </c>
      <c r="G75" s="8">
        <v>0</v>
      </c>
      <c r="H75" s="8">
        <v>0</v>
      </c>
      <c r="I75" s="8">
        <v>1</v>
      </c>
      <c r="J75" s="8">
        <v>0</v>
      </c>
      <c r="K75" s="8">
        <v>1</v>
      </c>
      <c r="L75" s="8">
        <v>1</v>
      </c>
      <c r="M75" s="8">
        <v>1</v>
      </c>
      <c r="N75" s="8">
        <v>0</v>
      </c>
      <c r="O75" s="8">
        <v>1</v>
      </c>
      <c r="P75" s="11">
        <f t="shared" si="3"/>
        <v>6</v>
      </c>
      <c r="Q75" s="12">
        <f t="shared" si="4"/>
        <v>0.54545454545454541</v>
      </c>
      <c r="R75" s="4">
        <v>66</v>
      </c>
      <c r="S75" s="4">
        <v>93</v>
      </c>
      <c r="T75" s="4">
        <v>35</v>
      </c>
      <c r="U75" s="11">
        <f t="shared" si="5"/>
        <v>64.666666666666671</v>
      </c>
    </row>
    <row r="76" spans="1:21" x14ac:dyDescent="0.3">
      <c r="A76" s="10">
        <v>33877.595546044206</v>
      </c>
      <c r="B76" s="7" t="s">
        <v>134</v>
      </c>
      <c r="C76" s="8" t="s">
        <v>135</v>
      </c>
      <c r="D76" s="7" t="s">
        <v>12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  <c r="O76" s="8">
        <v>0</v>
      </c>
      <c r="P76" s="11">
        <f t="shared" si="3"/>
        <v>6</v>
      </c>
      <c r="Q76" s="12">
        <f t="shared" si="4"/>
        <v>0.54545454545454541</v>
      </c>
      <c r="R76" s="4">
        <v>27</v>
      </c>
      <c r="S76" s="4">
        <v>22</v>
      </c>
      <c r="T76" s="4">
        <v>61</v>
      </c>
      <c r="U76" s="11">
        <f t="shared" si="5"/>
        <v>36.666666666666664</v>
      </c>
    </row>
    <row r="77" spans="1:21" x14ac:dyDescent="0.3">
      <c r="A77" s="10">
        <v>23390.394077879228</v>
      </c>
      <c r="B77" s="7" t="s">
        <v>136</v>
      </c>
      <c r="C77" s="8" t="s">
        <v>135</v>
      </c>
      <c r="D77" s="7" t="s">
        <v>33</v>
      </c>
      <c r="E77" s="8">
        <v>1</v>
      </c>
      <c r="F77" s="8">
        <v>1</v>
      </c>
      <c r="G77" s="8">
        <v>0</v>
      </c>
      <c r="H77" s="8">
        <v>1</v>
      </c>
      <c r="I77" s="8">
        <v>0</v>
      </c>
      <c r="J77" s="8">
        <v>0</v>
      </c>
      <c r="K77" s="8">
        <v>1</v>
      </c>
      <c r="L77" s="8">
        <v>0</v>
      </c>
      <c r="M77" s="8">
        <v>1</v>
      </c>
      <c r="N77" s="8">
        <v>0</v>
      </c>
      <c r="O77" s="8">
        <v>0</v>
      </c>
      <c r="P77" s="11">
        <f t="shared" si="3"/>
        <v>5</v>
      </c>
      <c r="Q77" s="12">
        <f t="shared" si="4"/>
        <v>0.45454545454545453</v>
      </c>
      <c r="R77" s="4">
        <v>45</v>
      </c>
      <c r="S77" s="4">
        <v>29</v>
      </c>
      <c r="T77" s="4">
        <v>56</v>
      </c>
      <c r="U77" s="11">
        <f t="shared" si="5"/>
        <v>43.333333333333336</v>
      </c>
    </row>
    <row r="78" spans="1:21" x14ac:dyDescent="0.3">
      <c r="A78" s="10">
        <v>44539.29154613836</v>
      </c>
      <c r="B78" s="7" t="s">
        <v>23</v>
      </c>
      <c r="C78" s="8" t="s">
        <v>137</v>
      </c>
      <c r="D78" s="7" t="s">
        <v>87</v>
      </c>
      <c r="E78" s="8">
        <v>1</v>
      </c>
      <c r="F78" s="8">
        <v>1</v>
      </c>
      <c r="G78" s="8">
        <v>1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</v>
      </c>
      <c r="P78" s="11">
        <f t="shared" si="3"/>
        <v>4</v>
      </c>
      <c r="Q78" s="12">
        <f t="shared" si="4"/>
        <v>0.36363636363636365</v>
      </c>
      <c r="R78" s="4">
        <v>60</v>
      </c>
      <c r="S78" s="4">
        <v>30</v>
      </c>
      <c r="T78" s="4">
        <v>86</v>
      </c>
      <c r="U78" s="11">
        <f t="shared" si="5"/>
        <v>58.666666666666664</v>
      </c>
    </row>
    <row r="79" spans="1:21" x14ac:dyDescent="0.3">
      <c r="A79" s="10">
        <v>69181.672656276627</v>
      </c>
      <c r="B79" s="7" t="s">
        <v>138</v>
      </c>
      <c r="C79" s="8" t="s">
        <v>137</v>
      </c>
      <c r="D79" s="7" t="s">
        <v>87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0</v>
      </c>
      <c r="K79" s="8">
        <v>0</v>
      </c>
      <c r="L79" s="8">
        <v>1</v>
      </c>
      <c r="M79" s="8">
        <v>1</v>
      </c>
      <c r="N79" s="8">
        <v>0</v>
      </c>
      <c r="O79" s="8">
        <v>0</v>
      </c>
      <c r="P79" s="11">
        <f t="shared" si="3"/>
        <v>7</v>
      </c>
      <c r="Q79" s="12">
        <f t="shared" si="4"/>
        <v>0.63636363636363635</v>
      </c>
      <c r="R79" s="4">
        <v>76</v>
      </c>
      <c r="S79" s="4">
        <v>88</v>
      </c>
      <c r="T79" s="4">
        <v>17</v>
      </c>
      <c r="U79" s="11">
        <f t="shared" si="5"/>
        <v>60.333333333333336</v>
      </c>
    </row>
    <row r="80" spans="1:21" x14ac:dyDescent="0.3">
      <c r="A80" s="10">
        <v>72976.349159243371</v>
      </c>
      <c r="B80" s="7" t="s">
        <v>131</v>
      </c>
      <c r="C80" s="8" t="s">
        <v>139</v>
      </c>
      <c r="D80" s="7" t="s">
        <v>20</v>
      </c>
      <c r="E80" s="8">
        <v>0</v>
      </c>
      <c r="F80" s="8">
        <v>0</v>
      </c>
      <c r="G80" s="8">
        <v>0</v>
      </c>
      <c r="H80" s="8">
        <v>1</v>
      </c>
      <c r="I80" s="8">
        <v>1</v>
      </c>
      <c r="J80" s="8">
        <v>1</v>
      </c>
      <c r="K80" s="8">
        <v>1</v>
      </c>
      <c r="L80" s="8">
        <v>0</v>
      </c>
      <c r="M80" s="8">
        <v>1</v>
      </c>
      <c r="N80" s="8">
        <v>1</v>
      </c>
      <c r="O80" s="8">
        <v>0</v>
      </c>
      <c r="P80" s="11">
        <f t="shared" si="3"/>
        <v>6</v>
      </c>
      <c r="Q80" s="12">
        <f t="shared" si="4"/>
        <v>0.54545454545454541</v>
      </c>
      <c r="R80" s="4">
        <v>41</v>
      </c>
      <c r="S80" s="4">
        <v>60</v>
      </c>
      <c r="T80" s="4">
        <v>14</v>
      </c>
      <c r="U80" s="11">
        <f t="shared" si="5"/>
        <v>38.333333333333336</v>
      </c>
    </row>
    <row r="81" spans="1:21" x14ac:dyDescent="0.3">
      <c r="A81" s="10">
        <v>32676.0663987277</v>
      </c>
      <c r="B81" s="7" t="s">
        <v>140</v>
      </c>
      <c r="C81" s="8" t="s">
        <v>141</v>
      </c>
      <c r="D81" s="7" t="s">
        <v>87</v>
      </c>
      <c r="E81" s="8">
        <v>1</v>
      </c>
      <c r="F81" s="8">
        <v>1</v>
      </c>
      <c r="G81" s="8">
        <v>0</v>
      </c>
      <c r="H81" s="8">
        <v>1</v>
      </c>
      <c r="I81" s="8">
        <v>0</v>
      </c>
      <c r="J81" s="8">
        <v>0</v>
      </c>
      <c r="K81" s="8">
        <v>1</v>
      </c>
      <c r="L81" s="8">
        <v>1</v>
      </c>
      <c r="M81" s="8">
        <v>0</v>
      </c>
      <c r="N81" s="8">
        <v>0</v>
      </c>
      <c r="O81" s="8">
        <v>0</v>
      </c>
      <c r="P81" s="11">
        <f t="shared" si="3"/>
        <v>5</v>
      </c>
      <c r="Q81" s="12">
        <f t="shared" si="4"/>
        <v>0.45454545454545453</v>
      </c>
      <c r="R81" s="4">
        <v>56</v>
      </c>
      <c r="S81" s="4">
        <v>19</v>
      </c>
      <c r="T81" s="4">
        <v>26</v>
      </c>
      <c r="U81" s="11">
        <f t="shared" si="5"/>
        <v>33.666666666666664</v>
      </c>
    </row>
    <row r="82" spans="1:21" x14ac:dyDescent="0.3">
      <c r="A82" s="10">
        <v>44948.635292205028</v>
      </c>
      <c r="B82" s="7" t="s">
        <v>142</v>
      </c>
      <c r="C82" s="8" t="s">
        <v>143</v>
      </c>
      <c r="D82" s="7" t="s">
        <v>12</v>
      </c>
      <c r="E82" s="8">
        <v>1</v>
      </c>
      <c r="F82" s="8">
        <v>0</v>
      </c>
      <c r="G82" s="8">
        <v>1</v>
      </c>
      <c r="H82" s="8">
        <v>0</v>
      </c>
      <c r="I82" s="8">
        <v>1</v>
      </c>
      <c r="J82" s="8">
        <v>1</v>
      </c>
      <c r="K82" s="8">
        <v>1</v>
      </c>
      <c r="L82" s="8">
        <v>0</v>
      </c>
      <c r="M82" s="8">
        <v>1</v>
      </c>
      <c r="N82" s="8">
        <v>1</v>
      </c>
      <c r="O82" s="8">
        <v>1</v>
      </c>
      <c r="P82" s="11">
        <f t="shared" si="3"/>
        <v>8</v>
      </c>
      <c r="Q82" s="12">
        <f t="shared" si="4"/>
        <v>0.72727272727272729</v>
      </c>
      <c r="R82" s="4">
        <v>76</v>
      </c>
      <c r="S82" s="4">
        <v>75</v>
      </c>
      <c r="T82" s="4">
        <v>59</v>
      </c>
      <c r="U82" s="11">
        <f t="shared" si="5"/>
        <v>70</v>
      </c>
    </row>
    <row r="83" spans="1:21" x14ac:dyDescent="0.3">
      <c r="A83" s="10">
        <v>17518.43055042519</v>
      </c>
      <c r="B83" s="7" t="s">
        <v>144</v>
      </c>
      <c r="C83" s="8" t="s">
        <v>145</v>
      </c>
      <c r="D83" s="7" t="s">
        <v>12</v>
      </c>
      <c r="E83" s="8">
        <v>0</v>
      </c>
      <c r="F83" s="8">
        <v>1</v>
      </c>
      <c r="G83" s="8">
        <v>1</v>
      </c>
      <c r="H83" s="8">
        <v>1</v>
      </c>
      <c r="I83" s="8">
        <v>0</v>
      </c>
      <c r="J83" s="8">
        <v>0</v>
      </c>
      <c r="K83" s="8">
        <v>1</v>
      </c>
      <c r="L83" s="8">
        <v>1</v>
      </c>
      <c r="M83" s="8">
        <v>1</v>
      </c>
      <c r="N83" s="8">
        <v>0</v>
      </c>
      <c r="O83" s="8">
        <v>1</v>
      </c>
      <c r="P83" s="11">
        <f t="shared" si="3"/>
        <v>7</v>
      </c>
      <c r="Q83" s="12">
        <f t="shared" si="4"/>
        <v>0.63636363636363635</v>
      </c>
      <c r="R83" s="4">
        <v>64</v>
      </c>
      <c r="S83" s="4">
        <v>81</v>
      </c>
      <c r="T83" s="4">
        <v>94</v>
      </c>
      <c r="U83" s="11">
        <f t="shared" si="5"/>
        <v>79.666666666666671</v>
      </c>
    </row>
    <row r="84" spans="1:21" x14ac:dyDescent="0.3">
      <c r="A84" s="10">
        <v>76173.980076590291</v>
      </c>
      <c r="B84" s="7" t="s">
        <v>146</v>
      </c>
      <c r="C84" s="8" t="s">
        <v>147</v>
      </c>
      <c r="D84" s="7" t="s">
        <v>12</v>
      </c>
      <c r="E84" s="8">
        <v>0</v>
      </c>
      <c r="F84" s="8">
        <v>1</v>
      </c>
      <c r="G84" s="8">
        <v>1</v>
      </c>
      <c r="H84" s="8">
        <v>1</v>
      </c>
      <c r="I84" s="8">
        <v>1</v>
      </c>
      <c r="J84" s="8">
        <v>0</v>
      </c>
      <c r="K84" s="8">
        <v>1</v>
      </c>
      <c r="L84" s="8">
        <v>1</v>
      </c>
      <c r="M84" s="8">
        <v>1</v>
      </c>
      <c r="N84" s="8">
        <v>0</v>
      </c>
      <c r="O84" s="8">
        <v>0</v>
      </c>
      <c r="P84" s="11">
        <f t="shared" si="3"/>
        <v>7</v>
      </c>
      <c r="Q84" s="12">
        <f t="shared" si="4"/>
        <v>0.63636363636363635</v>
      </c>
      <c r="R84" s="4">
        <v>68</v>
      </c>
      <c r="S84" s="4">
        <v>76</v>
      </c>
      <c r="T84" s="4">
        <v>36</v>
      </c>
      <c r="U84" s="11">
        <f t="shared" si="5"/>
        <v>60</v>
      </c>
    </row>
    <row r="85" spans="1:21" x14ac:dyDescent="0.3">
      <c r="A85" s="10">
        <v>72134.529662172659</v>
      </c>
      <c r="B85" s="7" t="s">
        <v>148</v>
      </c>
      <c r="C85" s="8" t="s">
        <v>149</v>
      </c>
      <c r="D85" s="7" t="s">
        <v>20</v>
      </c>
      <c r="E85" s="8">
        <v>0</v>
      </c>
      <c r="F85" s="8">
        <v>1</v>
      </c>
      <c r="G85" s="8">
        <v>1</v>
      </c>
      <c r="H85" s="8">
        <v>1</v>
      </c>
      <c r="I85" s="8">
        <v>0</v>
      </c>
      <c r="J85" s="8">
        <v>1</v>
      </c>
      <c r="K85" s="8">
        <v>0</v>
      </c>
      <c r="L85" s="8">
        <v>1</v>
      </c>
      <c r="M85" s="8">
        <v>0</v>
      </c>
      <c r="N85" s="8">
        <v>0</v>
      </c>
      <c r="O85" s="8">
        <v>0</v>
      </c>
      <c r="P85" s="11">
        <f t="shared" si="3"/>
        <v>5</v>
      </c>
      <c r="Q85" s="12">
        <f t="shared" si="4"/>
        <v>0.45454545454545453</v>
      </c>
      <c r="R85" s="4">
        <v>64</v>
      </c>
      <c r="S85" s="4">
        <v>67</v>
      </c>
      <c r="T85" s="4">
        <v>93</v>
      </c>
      <c r="U85" s="11">
        <f t="shared" si="5"/>
        <v>74.666666666666671</v>
      </c>
    </row>
    <row r="86" spans="1:21" x14ac:dyDescent="0.3">
      <c r="A86" s="10">
        <v>79950.429134945836</v>
      </c>
      <c r="B86" s="7" t="s">
        <v>37</v>
      </c>
      <c r="C86" s="8" t="s">
        <v>149</v>
      </c>
      <c r="D86" s="7" t="s">
        <v>16</v>
      </c>
      <c r="E86" s="8">
        <v>1</v>
      </c>
      <c r="F86" s="8">
        <v>1</v>
      </c>
      <c r="G86" s="8">
        <v>0</v>
      </c>
      <c r="H86" s="8">
        <v>0</v>
      </c>
      <c r="I86" s="8">
        <v>0</v>
      </c>
      <c r="J86" s="8">
        <v>1</v>
      </c>
      <c r="K86" s="8">
        <v>0</v>
      </c>
      <c r="L86" s="8">
        <v>1</v>
      </c>
      <c r="M86" s="8">
        <v>1</v>
      </c>
      <c r="N86" s="8">
        <v>1</v>
      </c>
      <c r="O86" s="8">
        <v>1</v>
      </c>
      <c r="P86" s="11">
        <f t="shared" si="3"/>
        <v>7</v>
      </c>
      <c r="Q86" s="12">
        <f t="shared" si="4"/>
        <v>0.63636363636363635</v>
      </c>
      <c r="R86" s="4">
        <v>71</v>
      </c>
      <c r="S86" s="4">
        <v>23</v>
      </c>
      <c r="T86" s="4">
        <v>52</v>
      </c>
      <c r="U86" s="11">
        <f t="shared" si="5"/>
        <v>48.666666666666664</v>
      </c>
    </row>
    <row r="87" spans="1:21" x14ac:dyDescent="0.3">
      <c r="A87" s="10">
        <v>22225.55173253905</v>
      </c>
      <c r="B87" s="7" t="s">
        <v>82</v>
      </c>
      <c r="C87" s="8" t="s">
        <v>150</v>
      </c>
      <c r="D87" s="7" t="s">
        <v>16</v>
      </c>
      <c r="E87" s="8">
        <v>0</v>
      </c>
      <c r="F87" s="8">
        <v>0</v>
      </c>
      <c r="G87" s="8">
        <v>0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1</v>
      </c>
      <c r="N87" s="8">
        <v>1</v>
      </c>
      <c r="O87" s="8">
        <v>0</v>
      </c>
      <c r="P87" s="11">
        <f t="shared" si="3"/>
        <v>3</v>
      </c>
      <c r="Q87" s="12">
        <f t="shared" si="4"/>
        <v>0.27272727272727271</v>
      </c>
      <c r="R87" s="4">
        <v>81</v>
      </c>
      <c r="S87" s="4">
        <v>54</v>
      </c>
      <c r="T87" s="4">
        <v>12</v>
      </c>
      <c r="U87" s="11">
        <f t="shared" si="5"/>
        <v>49</v>
      </c>
    </row>
    <row r="88" spans="1:21" x14ac:dyDescent="0.3">
      <c r="A88" s="10">
        <v>49083.66196139071</v>
      </c>
      <c r="B88" s="7" t="s">
        <v>151</v>
      </c>
      <c r="C88" s="8" t="s">
        <v>152</v>
      </c>
      <c r="D88" s="7" t="s">
        <v>87</v>
      </c>
      <c r="E88" s="8">
        <v>0</v>
      </c>
      <c r="F88" s="8">
        <v>0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1</v>
      </c>
      <c r="M88" s="8">
        <v>0</v>
      </c>
      <c r="N88" s="8">
        <v>1</v>
      </c>
      <c r="O88" s="8">
        <v>1</v>
      </c>
      <c r="P88" s="11">
        <f t="shared" si="3"/>
        <v>4</v>
      </c>
      <c r="Q88" s="12">
        <f t="shared" si="4"/>
        <v>0.36363636363636365</v>
      </c>
      <c r="R88" s="4">
        <v>91</v>
      </c>
      <c r="S88" s="4">
        <v>23</v>
      </c>
      <c r="T88" s="4">
        <v>17</v>
      </c>
      <c r="U88" s="11">
        <f t="shared" si="5"/>
        <v>43.666666666666664</v>
      </c>
    </row>
    <row r="89" spans="1:21" x14ac:dyDescent="0.3">
      <c r="A89" s="10">
        <v>65594.869890713802</v>
      </c>
      <c r="B89" s="7" t="s">
        <v>153</v>
      </c>
      <c r="C89" s="8" t="s">
        <v>152</v>
      </c>
      <c r="D89" s="7" t="s">
        <v>33</v>
      </c>
      <c r="E89" s="8">
        <v>0</v>
      </c>
      <c r="F89" s="8">
        <v>0</v>
      </c>
      <c r="G89" s="8">
        <v>0</v>
      </c>
      <c r="H89" s="8">
        <v>1</v>
      </c>
      <c r="I89" s="8">
        <v>0</v>
      </c>
      <c r="J89" s="8">
        <v>0</v>
      </c>
      <c r="K89" s="8">
        <v>0</v>
      </c>
      <c r="L89" s="8">
        <v>1</v>
      </c>
      <c r="M89" s="8">
        <v>0</v>
      </c>
      <c r="N89" s="8">
        <v>1</v>
      </c>
      <c r="O89" s="8">
        <v>0</v>
      </c>
      <c r="P89" s="11">
        <f t="shared" si="3"/>
        <v>3</v>
      </c>
      <c r="Q89" s="12">
        <f t="shared" si="4"/>
        <v>0.27272727272727271</v>
      </c>
      <c r="R89" s="4">
        <v>32</v>
      </c>
      <c r="S89" s="4">
        <v>32</v>
      </c>
      <c r="T89" s="4">
        <v>60</v>
      </c>
      <c r="U89" s="11">
        <f t="shared" si="5"/>
        <v>41.333333333333336</v>
      </c>
    </row>
    <row r="90" spans="1:21" x14ac:dyDescent="0.3">
      <c r="A90" s="10">
        <v>26782.453588899636</v>
      </c>
      <c r="B90" s="7" t="s">
        <v>154</v>
      </c>
      <c r="C90" s="8" t="s">
        <v>155</v>
      </c>
      <c r="D90" s="7" t="s">
        <v>33</v>
      </c>
      <c r="E90" s="8">
        <v>0</v>
      </c>
      <c r="F90" s="8">
        <v>1</v>
      </c>
      <c r="G90" s="8">
        <v>0</v>
      </c>
      <c r="H90" s="8">
        <v>1</v>
      </c>
      <c r="I90" s="8">
        <v>1</v>
      </c>
      <c r="J90" s="8">
        <v>0</v>
      </c>
      <c r="K90" s="8">
        <v>1</v>
      </c>
      <c r="L90" s="8">
        <v>1</v>
      </c>
      <c r="M90" s="8">
        <v>1</v>
      </c>
      <c r="N90" s="8">
        <v>0</v>
      </c>
      <c r="O90" s="8">
        <v>0</v>
      </c>
      <c r="P90" s="11">
        <f t="shared" si="3"/>
        <v>6</v>
      </c>
      <c r="Q90" s="12">
        <f t="shared" si="4"/>
        <v>0.54545454545454541</v>
      </c>
      <c r="R90" s="4">
        <v>74</v>
      </c>
      <c r="S90" s="4">
        <v>40</v>
      </c>
      <c r="T90" s="4">
        <v>83</v>
      </c>
      <c r="U90" s="11">
        <f t="shared" si="5"/>
        <v>65.666666666666671</v>
      </c>
    </row>
    <row r="91" spans="1:21" x14ac:dyDescent="0.3">
      <c r="A91" s="10">
        <v>96262.784422365832</v>
      </c>
      <c r="B91" s="7" t="s">
        <v>156</v>
      </c>
      <c r="C91" s="8" t="s">
        <v>157</v>
      </c>
      <c r="D91" s="7" t="s">
        <v>16</v>
      </c>
      <c r="E91" s="8">
        <v>1</v>
      </c>
      <c r="F91" s="8">
        <v>1</v>
      </c>
      <c r="G91" s="8">
        <v>0</v>
      </c>
      <c r="H91" s="8">
        <v>0</v>
      </c>
      <c r="I91" s="8">
        <v>0</v>
      </c>
      <c r="J91" s="8">
        <v>1</v>
      </c>
      <c r="K91" s="8">
        <v>1</v>
      </c>
      <c r="L91" s="8">
        <v>1</v>
      </c>
      <c r="M91" s="8">
        <v>0</v>
      </c>
      <c r="N91" s="8">
        <v>1</v>
      </c>
      <c r="O91" s="8">
        <v>1</v>
      </c>
      <c r="P91" s="11">
        <f t="shared" si="3"/>
        <v>7</v>
      </c>
      <c r="Q91" s="12">
        <f t="shared" si="4"/>
        <v>0.63636363636363635</v>
      </c>
      <c r="R91" s="4">
        <v>42</v>
      </c>
      <c r="S91" s="4">
        <v>97</v>
      </c>
      <c r="T91" s="4">
        <v>55</v>
      </c>
      <c r="U91" s="11">
        <f t="shared" si="5"/>
        <v>64.666666666666671</v>
      </c>
    </row>
    <row r="92" spans="1:21" x14ac:dyDescent="0.3">
      <c r="A92" s="10">
        <v>93362.7326198636</v>
      </c>
      <c r="B92" s="7" t="s">
        <v>125</v>
      </c>
      <c r="C92" s="8" t="s">
        <v>158</v>
      </c>
      <c r="D92" s="7" t="s">
        <v>87</v>
      </c>
      <c r="E92" s="8">
        <v>0</v>
      </c>
      <c r="F92" s="8">
        <v>1</v>
      </c>
      <c r="G92" s="8">
        <v>1</v>
      </c>
      <c r="H92" s="8">
        <v>1</v>
      </c>
      <c r="I92" s="8">
        <v>1</v>
      </c>
      <c r="J92" s="8">
        <v>1</v>
      </c>
      <c r="K92" s="8">
        <v>0</v>
      </c>
      <c r="L92" s="8">
        <v>0</v>
      </c>
      <c r="M92" s="8">
        <v>1</v>
      </c>
      <c r="N92" s="8">
        <v>1</v>
      </c>
      <c r="O92" s="8">
        <v>1</v>
      </c>
      <c r="P92" s="11">
        <f t="shared" si="3"/>
        <v>8</v>
      </c>
      <c r="Q92" s="12">
        <f t="shared" si="4"/>
        <v>0.72727272727272729</v>
      </c>
      <c r="R92" s="4">
        <v>84</v>
      </c>
      <c r="S92" s="4">
        <v>44</v>
      </c>
      <c r="T92" s="4">
        <v>91</v>
      </c>
      <c r="U92" s="11">
        <f t="shared" si="5"/>
        <v>73</v>
      </c>
    </row>
    <row r="93" spans="1:21" x14ac:dyDescent="0.3">
      <c r="A93" s="10">
        <v>96676.299338953875</v>
      </c>
      <c r="B93" s="7" t="s">
        <v>37</v>
      </c>
      <c r="C93" s="8" t="s">
        <v>159</v>
      </c>
      <c r="D93" s="7" t="s">
        <v>33</v>
      </c>
      <c r="E93" s="8">
        <v>0</v>
      </c>
      <c r="F93" s="8">
        <v>0</v>
      </c>
      <c r="G93" s="8">
        <v>0</v>
      </c>
      <c r="H93" s="8">
        <v>1</v>
      </c>
      <c r="I93" s="8">
        <v>1</v>
      </c>
      <c r="J93" s="8">
        <v>0</v>
      </c>
      <c r="K93" s="8">
        <v>1</v>
      </c>
      <c r="L93" s="8">
        <v>0</v>
      </c>
      <c r="M93" s="8">
        <v>0</v>
      </c>
      <c r="N93" s="8">
        <v>1</v>
      </c>
      <c r="O93" s="8">
        <v>1</v>
      </c>
      <c r="P93" s="11">
        <f t="shared" si="3"/>
        <v>5</v>
      </c>
      <c r="Q93" s="12">
        <f t="shared" si="4"/>
        <v>0.45454545454545453</v>
      </c>
      <c r="R93" s="4">
        <v>23</v>
      </c>
      <c r="S93" s="4">
        <v>69</v>
      </c>
      <c r="T93" s="4">
        <v>81</v>
      </c>
      <c r="U93" s="11">
        <f t="shared" si="5"/>
        <v>57.666666666666664</v>
      </c>
    </row>
    <row r="94" spans="1:21" x14ac:dyDescent="0.3">
      <c r="A94" s="10">
        <v>76394.147476900675</v>
      </c>
      <c r="B94" s="7" t="s">
        <v>160</v>
      </c>
      <c r="C94" s="8" t="s">
        <v>161</v>
      </c>
      <c r="D94" s="7" t="s">
        <v>12</v>
      </c>
      <c r="E94" s="8">
        <v>0</v>
      </c>
      <c r="F94" s="8">
        <v>1</v>
      </c>
      <c r="G94" s="8">
        <v>0</v>
      </c>
      <c r="H94" s="8">
        <v>0</v>
      </c>
      <c r="I94" s="8">
        <v>0</v>
      </c>
      <c r="J94" s="8">
        <v>0</v>
      </c>
      <c r="K94" s="8">
        <v>1</v>
      </c>
      <c r="L94" s="8">
        <v>1</v>
      </c>
      <c r="M94" s="8">
        <v>1</v>
      </c>
      <c r="N94" s="8">
        <v>1</v>
      </c>
      <c r="O94" s="8">
        <v>1</v>
      </c>
      <c r="P94" s="11">
        <f t="shared" si="3"/>
        <v>6</v>
      </c>
      <c r="Q94" s="12">
        <f t="shared" si="4"/>
        <v>0.54545454545454541</v>
      </c>
      <c r="R94" s="4">
        <v>59</v>
      </c>
      <c r="S94" s="4">
        <v>72</v>
      </c>
      <c r="T94" s="4">
        <v>10</v>
      </c>
      <c r="U94" s="11">
        <f t="shared" si="5"/>
        <v>47</v>
      </c>
    </row>
    <row r="95" spans="1:21" x14ac:dyDescent="0.3">
      <c r="A95" s="10">
        <v>4645.5001627097481</v>
      </c>
      <c r="B95" s="7" t="s">
        <v>162</v>
      </c>
      <c r="C95" s="8" t="s">
        <v>163</v>
      </c>
      <c r="D95" s="7" t="s">
        <v>87</v>
      </c>
      <c r="E95" s="8">
        <v>1</v>
      </c>
      <c r="F95" s="8">
        <v>1</v>
      </c>
      <c r="G95" s="8">
        <v>0</v>
      </c>
      <c r="H95" s="8">
        <v>0</v>
      </c>
      <c r="I95" s="8">
        <v>1</v>
      </c>
      <c r="J95" s="8">
        <v>1</v>
      </c>
      <c r="K95" s="8">
        <v>0</v>
      </c>
      <c r="L95" s="8">
        <v>1</v>
      </c>
      <c r="M95" s="8">
        <v>0</v>
      </c>
      <c r="N95" s="8">
        <v>1</v>
      </c>
      <c r="O95" s="8">
        <v>0</v>
      </c>
      <c r="P95" s="11">
        <f t="shared" si="3"/>
        <v>6</v>
      </c>
      <c r="Q95" s="12">
        <f t="shared" si="4"/>
        <v>0.54545454545454541</v>
      </c>
      <c r="R95" s="4">
        <v>100</v>
      </c>
      <c r="S95" s="4">
        <v>84</v>
      </c>
      <c r="T95" s="4">
        <v>27</v>
      </c>
      <c r="U95" s="11">
        <f t="shared" si="5"/>
        <v>70.333333333333329</v>
      </c>
    </row>
    <row r="96" spans="1:21" x14ac:dyDescent="0.3">
      <c r="A96" s="10">
        <v>70767.36070104636</v>
      </c>
      <c r="B96" s="7" t="s">
        <v>164</v>
      </c>
      <c r="C96" s="8" t="s">
        <v>165</v>
      </c>
      <c r="D96" s="7" t="s">
        <v>33</v>
      </c>
      <c r="E96" s="8">
        <v>0</v>
      </c>
      <c r="F96" s="8">
        <v>0</v>
      </c>
      <c r="G96" s="8">
        <v>1</v>
      </c>
      <c r="H96" s="8">
        <v>0</v>
      </c>
      <c r="I96" s="8">
        <v>1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11">
        <f t="shared" si="3"/>
        <v>2</v>
      </c>
      <c r="Q96" s="12">
        <f t="shared" si="4"/>
        <v>0.18181818181818182</v>
      </c>
      <c r="R96" s="4">
        <v>39</v>
      </c>
      <c r="S96" s="4">
        <v>74</v>
      </c>
      <c r="T96" s="4">
        <v>74</v>
      </c>
      <c r="U96" s="11">
        <f t="shared" si="5"/>
        <v>62.333333333333336</v>
      </c>
    </row>
    <row r="97" spans="1:21" x14ac:dyDescent="0.3">
      <c r="A97" s="10">
        <v>29565.976912321566</v>
      </c>
      <c r="B97" s="7" t="s">
        <v>166</v>
      </c>
      <c r="C97" s="8" t="s">
        <v>167</v>
      </c>
      <c r="D97" s="7" t="s">
        <v>33</v>
      </c>
      <c r="E97" s="8">
        <v>0</v>
      </c>
      <c r="F97" s="8">
        <v>1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1</v>
      </c>
      <c r="N97" s="8">
        <v>1</v>
      </c>
      <c r="O97" s="8">
        <v>1</v>
      </c>
      <c r="P97" s="11">
        <f t="shared" si="3"/>
        <v>4</v>
      </c>
      <c r="Q97" s="12">
        <f t="shared" si="4"/>
        <v>0.36363636363636365</v>
      </c>
      <c r="R97" s="4">
        <v>67</v>
      </c>
      <c r="S97" s="4">
        <v>42</v>
      </c>
      <c r="T97" s="4">
        <v>36</v>
      </c>
      <c r="U97" s="11">
        <f t="shared" si="5"/>
        <v>48.333333333333336</v>
      </c>
    </row>
    <row r="98" spans="1:21" x14ac:dyDescent="0.3">
      <c r="A98" s="10">
        <v>53841.845608423653</v>
      </c>
      <c r="B98" s="7" t="s">
        <v>123</v>
      </c>
      <c r="C98" s="8" t="s">
        <v>168</v>
      </c>
      <c r="D98" s="7" t="s">
        <v>87</v>
      </c>
      <c r="E98" s="8">
        <v>1</v>
      </c>
      <c r="F98" s="8">
        <v>1</v>
      </c>
      <c r="G98" s="8">
        <v>0</v>
      </c>
      <c r="H98" s="8">
        <v>1</v>
      </c>
      <c r="I98" s="8">
        <v>0</v>
      </c>
      <c r="J98" s="8">
        <v>1</v>
      </c>
      <c r="K98" s="8">
        <v>1</v>
      </c>
      <c r="L98" s="8">
        <v>1</v>
      </c>
      <c r="M98" s="8">
        <v>1</v>
      </c>
      <c r="N98" s="8">
        <v>0</v>
      </c>
      <c r="O98" s="8">
        <v>0</v>
      </c>
      <c r="P98" s="11">
        <f t="shared" si="3"/>
        <v>7</v>
      </c>
      <c r="Q98" s="12">
        <f t="shared" si="4"/>
        <v>0.63636363636363635</v>
      </c>
      <c r="R98" s="4">
        <v>36</v>
      </c>
      <c r="S98" s="4">
        <v>42</v>
      </c>
      <c r="T98" s="4">
        <v>95</v>
      </c>
      <c r="U98" s="11">
        <f t="shared" si="5"/>
        <v>57.666666666666664</v>
      </c>
    </row>
    <row r="99" spans="1:21" x14ac:dyDescent="0.3">
      <c r="A99" s="10">
        <v>9859.7596170458164</v>
      </c>
      <c r="B99" s="7" t="s">
        <v>169</v>
      </c>
      <c r="C99" s="8" t="s">
        <v>170</v>
      </c>
      <c r="D99" s="7" t="s">
        <v>87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8">
        <v>0</v>
      </c>
      <c r="K99" s="8">
        <v>1</v>
      </c>
      <c r="L99" s="8">
        <v>0</v>
      </c>
      <c r="M99" s="8">
        <v>0</v>
      </c>
      <c r="N99" s="8">
        <v>1</v>
      </c>
      <c r="O99" s="8">
        <v>0</v>
      </c>
      <c r="P99" s="11">
        <f t="shared" si="3"/>
        <v>7</v>
      </c>
      <c r="Q99" s="12">
        <f t="shared" si="4"/>
        <v>0.63636363636363635</v>
      </c>
      <c r="R99" s="4">
        <v>37</v>
      </c>
      <c r="S99" s="4">
        <v>65</v>
      </c>
      <c r="T99" s="4">
        <v>28</v>
      </c>
      <c r="U99" s="11">
        <f t="shared" si="5"/>
        <v>43.333333333333336</v>
      </c>
    </row>
    <row r="100" spans="1:21" x14ac:dyDescent="0.3">
      <c r="A100" s="10">
        <v>78490.653137329995</v>
      </c>
      <c r="B100" s="7" t="s">
        <v>18</v>
      </c>
      <c r="C100" s="8" t="s">
        <v>171</v>
      </c>
      <c r="D100" s="7" t="s">
        <v>33</v>
      </c>
      <c r="E100" s="8">
        <v>0</v>
      </c>
      <c r="F100" s="8">
        <v>1</v>
      </c>
      <c r="G100" s="8">
        <v>0</v>
      </c>
      <c r="H100" s="8">
        <v>0</v>
      </c>
      <c r="I100" s="8">
        <v>1</v>
      </c>
      <c r="J100" s="8">
        <v>0</v>
      </c>
      <c r="K100" s="8">
        <v>1</v>
      </c>
      <c r="L100" s="8">
        <v>0</v>
      </c>
      <c r="M100" s="8">
        <v>0</v>
      </c>
      <c r="N100" s="8">
        <v>1</v>
      </c>
      <c r="O100" s="8">
        <v>0</v>
      </c>
      <c r="P100" s="11">
        <f t="shared" si="3"/>
        <v>4</v>
      </c>
      <c r="Q100" s="12">
        <f t="shared" si="4"/>
        <v>0.36363636363636365</v>
      </c>
      <c r="R100" s="4">
        <v>92</v>
      </c>
      <c r="S100" s="4">
        <v>56</v>
      </c>
      <c r="T100" s="4">
        <v>67</v>
      </c>
      <c r="U100" s="11">
        <f t="shared" si="5"/>
        <v>71.666666666666671</v>
      </c>
    </row>
    <row r="101" spans="1:21" x14ac:dyDescent="0.3">
      <c r="A101" s="10">
        <v>3830.9939936125302</v>
      </c>
      <c r="B101" s="7" t="s">
        <v>172</v>
      </c>
      <c r="C101" s="8" t="s">
        <v>173</v>
      </c>
      <c r="D101" s="7" t="s">
        <v>12</v>
      </c>
      <c r="E101" s="8">
        <v>1</v>
      </c>
      <c r="F101" s="8">
        <v>1</v>
      </c>
      <c r="G101" s="8">
        <v>1</v>
      </c>
      <c r="H101" s="8">
        <v>1</v>
      </c>
      <c r="I101" s="8">
        <v>1</v>
      </c>
      <c r="J101" s="8">
        <v>1</v>
      </c>
      <c r="K101" s="8">
        <v>1</v>
      </c>
      <c r="L101" s="8">
        <v>1</v>
      </c>
      <c r="M101" s="8">
        <v>0</v>
      </c>
      <c r="N101" s="8">
        <v>1</v>
      </c>
      <c r="O101" s="8">
        <v>1</v>
      </c>
      <c r="P101" s="11">
        <f t="shared" si="3"/>
        <v>10</v>
      </c>
      <c r="Q101" s="12">
        <f t="shared" si="4"/>
        <v>0.90909090909090906</v>
      </c>
      <c r="R101" s="4">
        <v>48</v>
      </c>
      <c r="S101" s="4">
        <v>43</v>
      </c>
      <c r="T101" s="4">
        <v>42</v>
      </c>
      <c r="U101" s="11">
        <f t="shared" si="5"/>
        <v>44.333333333333336</v>
      </c>
    </row>
    <row r="102" spans="1:21" ht="45.75" customHeight="1" x14ac:dyDescent="0.3">
      <c r="A102" s="1" t="s">
        <v>174</v>
      </c>
      <c r="B102" s="1">
        <f>COUNTA(A2:A101)</f>
        <v>100</v>
      </c>
      <c r="D102" s="13" t="s">
        <v>175</v>
      </c>
      <c r="E102" s="14">
        <f>SUM(E2:E101)/$B$102</f>
        <v>0.51</v>
      </c>
      <c r="F102" s="14">
        <f t="shared" ref="F102:O102" si="6">SUM(F2:F101)/$B$102</f>
        <v>0.56000000000000005</v>
      </c>
      <c r="G102" s="14">
        <f t="shared" si="6"/>
        <v>0.5</v>
      </c>
      <c r="H102" s="14">
        <f t="shared" si="6"/>
        <v>0.54</v>
      </c>
      <c r="I102" s="14">
        <f t="shared" si="6"/>
        <v>0.51</v>
      </c>
      <c r="J102" s="14">
        <f t="shared" si="6"/>
        <v>0.51</v>
      </c>
      <c r="K102" s="14">
        <f t="shared" si="6"/>
        <v>0.51</v>
      </c>
      <c r="L102" s="14">
        <f t="shared" si="6"/>
        <v>0.44</v>
      </c>
      <c r="M102" s="14">
        <f t="shared" si="6"/>
        <v>0.53</v>
      </c>
      <c r="N102" s="14">
        <f t="shared" si="6"/>
        <v>0.51</v>
      </c>
      <c r="O102" s="14">
        <f t="shared" si="6"/>
        <v>0.49</v>
      </c>
      <c r="P102" s="15"/>
      <c r="Q102" s="20" t="s">
        <v>176</v>
      </c>
      <c r="R102" s="20"/>
      <c r="S102" s="20"/>
      <c r="T102" s="20"/>
      <c r="U102" s="20"/>
    </row>
    <row r="103" spans="1:21" ht="29.25" customHeight="1" x14ac:dyDescent="0.3"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8"/>
      <c r="Q103" s="19" t="s">
        <v>177</v>
      </c>
      <c r="R103" s="11">
        <f>AVERAGE(R2:R101)</f>
        <v>58.32</v>
      </c>
      <c r="S103" s="11">
        <f>AVERAGE(S2:S101)</f>
        <v>56.34</v>
      </c>
      <c r="T103" s="11">
        <f>AVERAGE(T2:T101)</f>
        <v>54.98</v>
      </c>
      <c r="U103" s="11">
        <f>AVERAGE(U2:U101)</f>
        <v>56.546666666666681</v>
      </c>
    </row>
    <row r="104" spans="1:21" ht="29.25" customHeight="1" x14ac:dyDescent="0.3">
      <c r="Q104" s="1" t="s">
        <v>178</v>
      </c>
      <c r="R104" s="11">
        <f>STDEV(R2:R101)</f>
        <v>23.434361372337268</v>
      </c>
      <c r="S104" s="11">
        <f>STDEV(S2:S101)</f>
        <v>24.542364938360702</v>
      </c>
      <c r="T104" s="11">
        <f>STDEV(T2:T101)</f>
        <v>28.569949600970954</v>
      </c>
      <c r="U104" s="11">
        <f>STDEV(U2:U101)</f>
        <v>13.279564986857721</v>
      </c>
    </row>
    <row r="105" spans="1:21" ht="29.25" customHeight="1" x14ac:dyDescent="0.3">
      <c r="Q105" s="1" t="s">
        <v>179</v>
      </c>
      <c r="R105" s="11">
        <f>MEDIAN(R2:R101)</f>
        <v>56.5</v>
      </c>
      <c r="S105" s="11">
        <f>MEDIAN(S2:S101)</f>
        <v>59</v>
      </c>
      <c r="T105" s="11">
        <f>MEDIAN(T2:T101)</f>
        <v>52</v>
      </c>
      <c r="U105" s="11">
        <f>MEDIAN(U2:U101)</f>
        <v>57.666666666666664</v>
      </c>
    </row>
    <row r="106" spans="1:21" ht="29.25" customHeight="1" x14ac:dyDescent="0.3">
      <c r="Q106" s="1" t="s">
        <v>180</v>
      </c>
      <c r="R106" s="11">
        <f>MIN(R2:R101)</f>
        <v>20</v>
      </c>
      <c r="S106" s="11">
        <f>MIN(S2:S101)</f>
        <v>11</v>
      </c>
      <c r="T106" s="11">
        <f>MIN(T2:T101)</f>
        <v>10</v>
      </c>
      <c r="U106" s="11">
        <f>MIN(U2:U101)</f>
        <v>20.333333333333332</v>
      </c>
    </row>
    <row r="107" spans="1:21" ht="29.25" customHeight="1" x14ac:dyDescent="0.3">
      <c r="Q107" s="1" t="s">
        <v>181</v>
      </c>
      <c r="R107" s="11">
        <f>MAX(R2:R101)</f>
        <v>100</v>
      </c>
      <c r="S107" s="11">
        <f>MAX(S2:S101)</f>
        <v>100</v>
      </c>
      <c r="T107" s="11">
        <f>MAX(T2:T101)</f>
        <v>100</v>
      </c>
      <c r="U107" s="11">
        <f>MAX(U2:U101)</f>
        <v>89</v>
      </c>
    </row>
    <row r="108" spans="1:21" ht="29.25" customHeight="1" x14ac:dyDescent="0.3"/>
    <row r="109" spans="1:21" ht="29.25" customHeight="1" x14ac:dyDescent="0.3"/>
    <row r="110" spans="1:21" ht="29.25" customHeight="1" x14ac:dyDescent="0.3"/>
    <row r="111" spans="1:21" ht="29.25" customHeight="1" x14ac:dyDescent="0.3"/>
    <row r="112" spans="1:21" ht="29.25" customHeight="1" x14ac:dyDescent="0.3"/>
    <row r="113" ht="29.25" customHeight="1" x14ac:dyDescent="0.3"/>
    <row r="114" ht="29.25" customHeight="1" x14ac:dyDescent="0.3"/>
    <row r="115" ht="29.25" customHeight="1" x14ac:dyDescent="0.3"/>
    <row r="116" ht="29.25" customHeight="1" x14ac:dyDescent="0.3"/>
    <row r="117" ht="29.25" customHeight="1" x14ac:dyDescent="0.3"/>
    <row r="118" ht="29.25" customHeight="1" x14ac:dyDescent="0.3"/>
    <row r="119" ht="29.25" customHeight="1" x14ac:dyDescent="0.3"/>
    <row r="120" ht="29.25" customHeight="1" x14ac:dyDescent="0.3"/>
    <row r="121" ht="29.25" customHeight="1" x14ac:dyDescent="0.3"/>
    <row r="122" ht="29.25" customHeight="1" x14ac:dyDescent="0.3"/>
    <row r="123" ht="29.25" customHeight="1" x14ac:dyDescent="0.3"/>
    <row r="124" ht="29.25" customHeight="1" x14ac:dyDescent="0.3"/>
    <row r="125" ht="29.25" customHeight="1" x14ac:dyDescent="0.3"/>
    <row r="126" ht="29.25" customHeight="1" x14ac:dyDescent="0.3"/>
    <row r="127" ht="29.25" customHeight="1" x14ac:dyDescent="0.3"/>
    <row r="128" ht="29.25" customHeight="1" x14ac:dyDescent="0.3"/>
    <row r="129" ht="29.25" customHeight="1" x14ac:dyDescent="0.3"/>
    <row r="130" ht="29.25" customHeight="1" x14ac:dyDescent="0.3"/>
    <row r="131" ht="29.25" customHeight="1" x14ac:dyDescent="0.3"/>
    <row r="132" ht="29.25" customHeight="1" x14ac:dyDescent="0.3"/>
    <row r="133" ht="29.25" customHeight="1" x14ac:dyDescent="0.3"/>
    <row r="134" ht="29.25" customHeight="1" x14ac:dyDescent="0.3"/>
    <row r="135" ht="29.25" customHeight="1" x14ac:dyDescent="0.3"/>
    <row r="136" ht="29.25" customHeight="1" x14ac:dyDescent="0.3"/>
    <row r="137" ht="29.25" customHeight="1" x14ac:dyDescent="0.3"/>
    <row r="138" ht="29.25" customHeight="1" x14ac:dyDescent="0.3"/>
    <row r="139" ht="29.25" customHeight="1" x14ac:dyDescent="0.3"/>
    <row r="140" ht="29.25" customHeight="1" x14ac:dyDescent="0.3"/>
    <row r="141" ht="29.25" customHeight="1" x14ac:dyDescent="0.3"/>
    <row r="142" ht="29.25" customHeight="1" x14ac:dyDescent="0.3"/>
    <row r="143" ht="29.25" customHeight="1" x14ac:dyDescent="0.3"/>
    <row r="144" ht="29.25" customHeight="1" x14ac:dyDescent="0.3"/>
    <row r="145" ht="29.25" customHeight="1" x14ac:dyDescent="0.3"/>
    <row r="146" ht="29.25" customHeight="1" x14ac:dyDescent="0.3"/>
    <row r="147" ht="29.25" customHeight="1" x14ac:dyDescent="0.3"/>
    <row r="148" ht="29.25" customHeight="1" x14ac:dyDescent="0.3"/>
    <row r="149" ht="29.25" customHeight="1" x14ac:dyDescent="0.3"/>
    <row r="150" ht="29.25" customHeight="1" x14ac:dyDescent="0.3"/>
    <row r="151" ht="29.25" customHeight="1" x14ac:dyDescent="0.3"/>
    <row r="152" ht="29.25" customHeight="1" x14ac:dyDescent="0.3"/>
    <row r="153" ht="29.25" customHeight="1" x14ac:dyDescent="0.3"/>
    <row r="154" ht="29.25" customHeight="1" x14ac:dyDescent="0.3"/>
    <row r="155" ht="29.25" customHeight="1" x14ac:dyDescent="0.3"/>
    <row r="156" ht="29.25" customHeight="1" x14ac:dyDescent="0.3"/>
    <row r="157" ht="29.25" customHeight="1" x14ac:dyDescent="0.3"/>
    <row r="158" ht="29.25" customHeight="1" x14ac:dyDescent="0.3"/>
    <row r="159" ht="29.25" customHeight="1" x14ac:dyDescent="0.3"/>
    <row r="160" ht="29.25" customHeight="1" x14ac:dyDescent="0.3"/>
    <row r="161" ht="29.25" customHeight="1" x14ac:dyDescent="0.3"/>
    <row r="162" ht="29.25" customHeight="1" x14ac:dyDescent="0.3"/>
    <row r="163" ht="29.25" customHeight="1" x14ac:dyDescent="0.3"/>
    <row r="164" ht="29.25" customHeight="1" x14ac:dyDescent="0.3"/>
    <row r="165" ht="29.25" customHeight="1" x14ac:dyDescent="0.3"/>
    <row r="166" ht="29.25" customHeight="1" x14ac:dyDescent="0.3"/>
    <row r="167" ht="29.25" customHeight="1" x14ac:dyDescent="0.3"/>
    <row r="168" ht="29.25" customHeight="1" x14ac:dyDescent="0.3"/>
    <row r="169" ht="29.25" customHeight="1" x14ac:dyDescent="0.3"/>
    <row r="170" ht="29.25" customHeight="1" x14ac:dyDescent="0.3"/>
    <row r="171" ht="29.25" customHeight="1" x14ac:dyDescent="0.3"/>
    <row r="172" ht="29.25" customHeight="1" x14ac:dyDescent="0.3"/>
    <row r="173" ht="29.25" customHeight="1" x14ac:dyDescent="0.3"/>
    <row r="174" ht="29.25" customHeight="1" x14ac:dyDescent="0.3"/>
    <row r="175" ht="29.25" customHeight="1" x14ac:dyDescent="0.3"/>
    <row r="176" ht="29.25" customHeight="1" x14ac:dyDescent="0.3"/>
    <row r="177" ht="29.25" customHeight="1" x14ac:dyDescent="0.3"/>
    <row r="178" ht="29.25" customHeight="1" x14ac:dyDescent="0.3"/>
    <row r="179" ht="29.25" customHeight="1" x14ac:dyDescent="0.3"/>
    <row r="180" ht="29.25" customHeight="1" x14ac:dyDescent="0.3"/>
    <row r="181" ht="29.25" customHeight="1" x14ac:dyDescent="0.3"/>
    <row r="182" ht="29.25" customHeight="1" x14ac:dyDescent="0.3"/>
    <row r="183" ht="29.25" customHeight="1" x14ac:dyDescent="0.3"/>
    <row r="184" ht="29.25" customHeight="1" x14ac:dyDescent="0.3"/>
    <row r="185" ht="29.25" customHeight="1" x14ac:dyDescent="0.3"/>
    <row r="186" ht="29.25" customHeight="1" x14ac:dyDescent="0.3"/>
    <row r="187" ht="29.25" customHeight="1" x14ac:dyDescent="0.3"/>
    <row r="188" ht="29.25" customHeight="1" x14ac:dyDescent="0.3"/>
    <row r="189" ht="29.25" customHeight="1" x14ac:dyDescent="0.3"/>
    <row r="190" ht="29.25" customHeight="1" x14ac:dyDescent="0.3"/>
    <row r="191" ht="29.25" customHeight="1" x14ac:dyDescent="0.3"/>
    <row r="192" ht="29.25" customHeight="1" x14ac:dyDescent="0.3"/>
    <row r="193" ht="29.25" customHeight="1" x14ac:dyDescent="0.3"/>
    <row r="194" ht="29.25" customHeight="1" x14ac:dyDescent="0.3"/>
    <row r="195" ht="29.25" customHeight="1" x14ac:dyDescent="0.3"/>
    <row r="196" ht="29.25" customHeight="1" x14ac:dyDescent="0.3"/>
    <row r="197" ht="29.25" customHeight="1" x14ac:dyDescent="0.3"/>
    <row r="198" ht="29.25" customHeight="1" x14ac:dyDescent="0.3"/>
    <row r="199" ht="29.25" customHeight="1" x14ac:dyDescent="0.3"/>
    <row r="200" ht="29.25" customHeight="1" x14ac:dyDescent="0.3"/>
    <row r="201" ht="29.25" customHeight="1" x14ac:dyDescent="0.3"/>
    <row r="202" ht="29.25" customHeight="1" x14ac:dyDescent="0.3"/>
    <row r="203" ht="29.25" customHeight="1" x14ac:dyDescent="0.3"/>
    <row r="204" ht="29.25" customHeight="1" x14ac:dyDescent="0.3"/>
    <row r="205" ht="29.25" customHeight="1" x14ac:dyDescent="0.3"/>
    <row r="206" ht="29.25" customHeight="1" x14ac:dyDescent="0.3"/>
    <row r="207" ht="29.25" customHeight="1" x14ac:dyDescent="0.3"/>
    <row r="208" ht="29.25" customHeight="1" x14ac:dyDescent="0.3"/>
    <row r="209" ht="29.25" customHeight="1" x14ac:dyDescent="0.3"/>
    <row r="210" ht="29.25" customHeight="1" x14ac:dyDescent="0.3"/>
    <row r="211" ht="29.25" customHeight="1" x14ac:dyDescent="0.3"/>
    <row r="212" ht="29.25" customHeight="1" x14ac:dyDescent="0.3"/>
    <row r="213" ht="29.25" customHeight="1" x14ac:dyDescent="0.3"/>
    <row r="214" ht="29.25" customHeight="1" x14ac:dyDescent="0.3"/>
    <row r="215" ht="29.25" customHeight="1" x14ac:dyDescent="0.3"/>
    <row r="216" ht="29.25" customHeight="1" x14ac:dyDescent="0.3"/>
    <row r="217" ht="29.25" customHeight="1" x14ac:dyDescent="0.3"/>
    <row r="218" ht="29.25" customHeight="1" x14ac:dyDescent="0.3"/>
    <row r="219" ht="29.25" customHeight="1" x14ac:dyDescent="0.3"/>
    <row r="220" ht="29.25" customHeight="1" x14ac:dyDescent="0.3"/>
    <row r="221" ht="29.25" customHeight="1" x14ac:dyDescent="0.3"/>
    <row r="222" ht="29.25" customHeight="1" x14ac:dyDescent="0.3"/>
    <row r="223" ht="29.25" customHeight="1" x14ac:dyDescent="0.3"/>
    <row r="224" ht="29.25" customHeight="1" x14ac:dyDescent="0.3"/>
    <row r="225" ht="29.25" customHeight="1" x14ac:dyDescent="0.3"/>
    <row r="226" ht="29.25" customHeight="1" x14ac:dyDescent="0.3"/>
    <row r="227" ht="29.25" customHeight="1" x14ac:dyDescent="0.3"/>
    <row r="228" ht="29.25" customHeight="1" x14ac:dyDescent="0.3"/>
    <row r="229" ht="29.25" customHeight="1" x14ac:dyDescent="0.3"/>
    <row r="230" ht="29.25" customHeight="1" x14ac:dyDescent="0.3"/>
    <row r="231" ht="29.25" customHeight="1" x14ac:dyDescent="0.3"/>
    <row r="232" ht="29.25" customHeight="1" x14ac:dyDescent="0.3"/>
    <row r="233" ht="29.25" customHeight="1" x14ac:dyDescent="0.3"/>
    <row r="234" ht="29.25" customHeight="1" x14ac:dyDescent="0.3"/>
    <row r="235" ht="29.25" customHeight="1" x14ac:dyDescent="0.3"/>
    <row r="236" ht="29.25" customHeight="1" x14ac:dyDescent="0.3"/>
    <row r="237" ht="29.25" customHeight="1" x14ac:dyDescent="0.3"/>
    <row r="238" ht="29.25" customHeight="1" x14ac:dyDescent="0.3"/>
    <row r="239" ht="29.25" customHeight="1" x14ac:dyDescent="0.3"/>
    <row r="240" ht="29.25" customHeight="1" x14ac:dyDescent="0.3"/>
    <row r="241" ht="29.25" customHeight="1" x14ac:dyDescent="0.3"/>
    <row r="242" ht="29.25" customHeight="1" x14ac:dyDescent="0.3"/>
    <row r="243" ht="29.25" customHeight="1" x14ac:dyDescent="0.3"/>
    <row r="244" ht="29.25" customHeight="1" x14ac:dyDescent="0.3"/>
    <row r="245" ht="29.25" customHeight="1" x14ac:dyDescent="0.3"/>
    <row r="246" ht="29.25" customHeight="1" x14ac:dyDescent="0.3"/>
    <row r="247" ht="29.25" customHeight="1" x14ac:dyDescent="0.3"/>
    <row r="248" ht="29.25" customHeight="1" x14ac:dyDescent="0.3"/>
    <row r="249" ht="29.25" customHeight="1" x14ac:dyDescent="0.3"/>
    <row r="250" ht="29.25" customHeight="1" x14ac:dyDescent="0.3"/>
    <row r="251" ht="29.25" customHeight="1" x14ac:dyDescent="0.3"/>
    <row r="252" ht="29.25" customHeight="1" x14ac:dyDescent="0.3"/>
    <row r="253" ht="29.25" customHeight="1" x14ac:dyDescent="0.3"/>
    <row r="254" ht="29.25" customHeight="1" x14ac:dyDescent="0.3"/>
    <row r="255" ht="29.25" customHeight="1" x14ac:dyDescent="0.3"/>
    <row r="256" ht="29.25" customHeight="1" x14ac:dyDescent="0.3"/>
    <row r="257" ht="29.25" customHeight="1" x14ac:dyDescent="0.3"/>
    <row r="258" ht="29.25" customHeight="1" x14ac:dyDescent="0.3"/>
    <row r="259" ht="29.25" customHeight="1" x14ac:dyDescent="0.3"/>
    <row r="260" ht="29.25" customHeight="1" x14ac:dyDescent="0.3"/>
    <row r="261" ht="29.25" customHeight="1" x14ac:dyDescent="0.3"/>
    <row r="262" ht="29.25" customHeight="1" x14ac:dyDescent="0.3"/>
    <row r="263" ht="29.25" customHeight="1" x14ac:dyDescent="0.3"/>
    <row r="264" ht="29.25" customHeight="1" x14ac:dyDescent="0.3"/>
    <row r="265" ht="29.25" customHeight="1" x14ac:dyDescent="0.3"/>
    <row r="266" ht="29.25" customHeight="1" x14ac:dyDescent="0.3"/>
    <row r="267" ht="29.25" customHeight="1" x14ac:dyDescent="0.3"/>
    <row r="268" ht="29.25" customHeight="1" x14ac:dyDescent="0.3"/>
    <row r="269" ht="29.25" customHeight="1" x14ac:dyDescent="0.3"/>
    <row r="270" ht="29.25" customHeight="1" x14ac:dyDescent="0.3"/>
    <row r="271" ht="29.25" customHeight="1" x14ac:dyDescent="0.3"/>
    <row r="272" ht="29.25" customHeight="1" x14ac:dyDescent="0.3"/>
    <row r="273" ht="29.25" customHeight="1" x14ac:dyDescent="0.3"/>
    <row r="274" ht="29.25" customHeight="1" x14ac:dyDescent="0.3"/>
    <row r="275" ht="29.25" customHeight="1" x14ac:dyDescent="0.3"/>
    <row r="276" ht="29.25" customHeight="1" x14ac:dyDescent="0.3"/>
    <row r="277" ht="29.25" customHeight="1" x14ac:dyDescent="0.3"/>
    <row r="278" ht="29.25" customHeight="1" x14ac:dyDescent="0.3"/>
    <row r="279" ht="29.25" customHeight="1" x14ac:dyDescent="0.3"/>
    <row r="280" ht="29.25" customHeight="1" x14ac:dyDescent="0.3"/>
    <row r="281" ht="29.25" customHeight="1" x14ac:dyDescent="0.3"/>
    <row r="282" ht="29.25" customHeight="1" x14ac:dyDescent="0.3"/>
    <row r="283" ht="29.25" customHeight="1" x14ac:dyDescent="0.3"/>
    <row r="284" ht="29.25" customHeight="1" x14ac:dyDescent="0.3"/>
    <row r="285" ht="29.25" customHeight="1" x14ac:dyDescent="0.3"/>
    <row r="286" ht="29.25" customHeight="1" x14ac:dyDescent="0.3"/>
    <row r="287" ht="29.25" customHeight="1" x14ac:dyDescent="0.3"/>
    <row r="288" ht="29.25" customHeight="1" x14ac:dyDescent="0.3"/>
    <row r="289" ht="29.25" customHeight="1" x14ac:dyDescent="0.3"/>
    <row r="290" ht="29.25" customHeight="1" x14ac:dyDescent="0.3"/>
    <row r="291" ht="29.25" customHeight="1" x14ac:dyDescent="0.3"/>
    <row r="292" ht="29.25" customHeight="1" x14ac:dyDescent="0.3"/>
    <row r="293" ht="29.25" customHeight="1" x14ac:dyDescent="0.3"/>
    <row r="294" ht="29.25" customHeight="1" x14ac:dyDescent="0.3"/>
    <row r="295" ht="29.25" customHeight="1" x14ac:dyDescent="0.3"/>
    <row r="296" ht="29.25" customHeight="1" x14ac:dyDescent="0.3"/>
    <row r="297" ht="29.25" customHeight="1" x14ac:dyDescent="0.3"/>
    <row r="298" ht="29.25" customHeight="1" x14ac:dyDescent="0.3"/>
    <row r="299" ht="29.25" customHeight="1" x14ac:dyDescent="0.3"/>
    <row r="300" ht="29.25" customHeight="1" x14ac:dyDescent="0.3"/>
    <row r="301" ht="29.25" customHeight="1" x14ac:dyDescent="0.3"/>
    <row r="302" ht="29.25" customHeight="1" x14ac:dyDescent="0.3"/>
    <row r="303" ht="29.25" customHeight="1" x14ac:dyDescent="0.3"/>
    <row r="304" ht="29.25" customHeight="1" x14ac:dyDescent="0.3"/>
    <row r="305" ht="29.25" customHeight="1" x14ac:dyDescent="0.3"/>
    <row r="306" ht="29.25" customHeight="1" x14ac:dyDescent="0.3"/>
    <row r="307" ht="29.25" customHeight="1" x14ac:dyDescent="0.3"/>
    <row r="308" ht="29.25" customHeight="1" x14ac:dyDescent="0.3"/>
    <row r="309" ht="29.25" customHeight="1" x14ac:dyDescent="0.3"/>
    <row r="310" ht="29.25" customHeight="1" x14ac:dyDescent="0.3"/>
    <row r="311" ht="29.25" customHeight="1" x14ac:dyDescent="0.3"/>
    <row r="312" ht="29.25" customHeight="1" x14ac:dyDescent="0.3"/>
    <row r="313" ht="29.25" customHeight="1" x14ac:dyDescent="0.3"/>
    <row r="314" ht="29.25" customHeight="1" x14ac:dyDescent="0.3"/>
    <row r="315" ht="29.25" customHeight="1" x14ac:dyDescent="0.3"/>
    <row r="316" ht="29.25" customHeight="1" x14ac:dyDescent="0.3"/>
    <row r="317" ht="29.25" customHeight="1" x14ac:dyDescent="0.3"/>
    <row r="318" ht="29.25" customHeight="1" x14ac:dyDescent="0.3"/>
    <row r="319" ht="29.25" customHeight="1" x14ac:dyDescent="0.3"/>
    <row r="320" ht="29.25" customHeight="1" x14ac:dyDescent="0.3"/>
    <row r="321" ht="29.25" customHeight="1" x14ac:dyDescent="0.3"/>
    <row r="322" ht="29.25" customHeight="1" x14ac:dyDescent="0.3"/>
    <row r="323" ht="29.25" customHeight="1" x14ac:dyDescent="0.3"/>
    <row r="324" ht="29.25" customHeight="1" x14ac:dyDescent="0.3"/>
    <row r="325" ht="29.25" customHeight="1" x14ac:dyDescent="0.3"/>
    <row r="326" ht="29.25" customHeight="1" x14ac:dyDescent="0.3"/>
    <row r="327" ht="29.25" customHeight="1" x14ac:dyDescent="0.3"/>
    <row r="328" ht="29.25" customHeight="1" x14ac:dyDescent="0.3"/>
    <row r="329" ht="29.25" customHeight="1" x14ac:dyDescent="0.3"/>
    <row r="330" ht="29.25" customHeight="1" x14ac:dyDescent="0.3"/>
    <row r="331" ht="29.25" customHeight="1" x14ac:dyDescent="0.3"/>
    <row r="332" ht="29.25" customHeight="1" x14ac:dyDescent="0.3"/>
    <row r="333" ht="29.25" customHeight="1" x14ac:dyDescent="0.3"/>
    <row r="334" ht="29.25" customHeight="1" x14ac:dyDescent="0.3"/>
    <row r="335" ht="29.25" customHeight="1" x14ac:dyDescent="0.3"/>
    <row r="336" ht="29.25" customHeight="1" x14ac:dyDescent="0.3"/>
    <row r="337" ht="29.25" customHeight="1" x14ac:dyDescent="0.3"/>
    <row r="338" ht="29.25" customHeight="1" x14ac:dyDescent="0.3"/>
    <row r="339" ht="29.25" customHeight="1" x14ac:dyDescent="0.3"/>
    <row r="340" ht="29.25" customHeight="1" x14ac:dyDescent="0.3"/>
    <row r="341" ht="29.25" customHeight="1" x14ac:dyDescent="0.3"/>
    <row r="342" ht="29.25" customHeight="1" x14ac:dyDescent="0.3"/>
    <row r="343" ht="29.25" customHeight="1" x14ac:dyDescent="0.3"/>
    <row r="344" ht="29.25" customHeight="1" x14ac:dyDescent="0.3"/>
    <row r="345" ht="29.25" customHeight="1" x14ac:dyDescent="0.3"/>
    <row r="346" ht="29.25" customHeight="1" x14ac:dyDescent="0.3"/>
    <row r="347" ht="29.25" customHeight="1" x14ac:dyDescent="0.3"/>
    <row r="348" ht="29.25" customHeight="1" x14ac:dyDescent="0.3"/>
    <row r="349" ht="29.25" customHeight="1" x14ac:dyDescent="0.3"/>
    <row r="350" ht="29.25" customHeight="1" x14ac:dyDescent="0.3"/>
    <row r="351" ht="29.25" customHeight="1" x14ac:dyDescent="0.3"/>
    <row r="352" ht="29.25" customHeight="1" x14ac:dyDescent="0.3"/>
    <row r="353" ht="29.25" customHeight="1" x14ac:dyDescent="0.3"/>
    <row r="354" ht="29.25" customHeight="1" x14ac:dyDescent="0.3"/>
    <row r="355" ht="29.25" customHeight="1" x14ac:dyDescent="0.3"/>
    <row r="356" ht="29.25" customHeight="1" x14ac:dyDescent="0.3"/>
    <row r="357" ht="29.25" customHeight="1" x14ac:dyDescent="0.3"/>
    <row r="358" ht="29.25" customHeight="1" x14ac:dyDescent="0.3"/>
    <row r="359" ht="29.25" customHeight="1" x14ac:dyDescent="0.3"/>
    <row r="360" ht="29.25" customHeight="1" x14ac:dyDescent="0.3"/>
    <row r="361" ht="29.25" customHeight="1" x14ac:dyDescent="0.3"/>
    <row r="362" ht="29.25" customHeight="1" x14ac:dyDescent="0.3"/>
    <row r="363" ht="29.25" customHeight="1" x14ac:dyDescent="0.3"/>
    <row r="364" ht="29.25" customHeight="1" x14ac:dyDescent="0.3"/>
    <row r="365" ht="29.25" customHeight="1" x14ac:dyDescent="0.3"/>
    <row r="366" ht="29.25" customHeight="1" x14ac:dyDescent="0.3"/>
    <row r="367" ht="29.25" customHeight="1" x14ac:dyDescent="0.3"/>
    <row r="368" ht="29.25" customHeight="1" x14ac:dyDescent="0.3"/>
    <row r="369" ht="29.25" customHeight="1" x14ac:dyDescent="0.3"/>
    <row r="370" ht="29.25" customHeight="1" x14ac:dyDescent="0.3"/>
    <row r="371" ht="29.25" customHeight="1" x14ac:dyDescent="0.3"/>
    <row r="372" ht="29.25" customHeight="1" x14ac:dyDescent="0.3"/>
    <row r="373" ht="29.25" customHeight="1" x14ac:dyDescent="0.3"/>
    <row r="374" ht="29.25" customHeight="1" x14ac:dyDescent="0.3"/>
    <row r="375" ht="29.25" customHeight="1" x14ac:dyDescent="0.3"/>
    <row r="376" ht="29.25" customHeight="1" x14ac:dyDescent="0.3"/>
    <row r="377" ht="29.25" customHeight="1" x14ac:dyDescent="0.3"/>
    <row r="378" ht="29.25" customHeight="1" x14ac:dyDescent="0.3"/>
    <row r="379" ht="29.25" customHeight="1" x14ac:dyDescent="0.3"/>
    <row r="380" ht="29.25" customHeight="1" x14ac:dyDescent="0.3"/>
    <row r="381" ht="29.25" customHeight="1" x14ac:dyDescent="0.3"/>
    <row r="382" ht="29.25" customHeight="1" x14ac:dyDescent="0.3"/>
    <row r="383" ht="29.25" customHeight="1" x14ac:dyDescent="0.3"/>
    <row r="384" ht="29.25" customHeight="1" x14ac:dyDescent="0.3"/>
    <row r="385" ht="29.25" customHeight="1" x14ac:dyDescent="0.3"/>
    <row r="386" ht="29.25" customHeight="1" x14ac:dyDescent="0.3"/>
    <row r="387" ht="29.25" customHeight="1" x14ac:dyDescent="0.3"/>
    <row r="388" ht="29.25" customHeight="1" x14ac:dyDescent="0.3"/>
    <row r="389" ht="29.25" customHeight="1" x14ac:dyDescent="0.3"/>
    <row r="390" ht="29.25" customHeight="1" x14ac:dyDescent="0.3"/>
    <row r="391" ht="29.25" customHeight="1" x14ac:dyDescent="0.3"/>
    <row r="392" ht="29.25" customHeight="1" x14ac:dyDescent="0.3"/>
    <row r="393" ht="29.25" customHeight="1" x14ac:dyDescent="0.3"/>
    <row r="394" ht="29.25" customHeight="1" x14ac:dyDescent="0.3"/>
    <row r="395" ht="29.25" customHeight="1" x14ac:dyDescent="0.3"/>
    <row r="396" ht="29.25" customHeight="1" x14ac:dyDescent="0.3"/>
  </sheetData>
  <mergeCells count="2">
    <mergeCell ref="Q102:U102"/>
    <mergeCell ref="V2:V3"/>
  </mergeCells>
  <conditionalFormatting sqref="E2:O101">
    <cfRule type="cellIs" dxfId="4" priority="4" operator="equal">
      <formula>0</formula>
    </cfRule>
    <cfRule type="cellIs" dxfId="3" priority="3" operator="equal">
      <formula>1</formula>
    </cfRule>
  </conditionalFormatting>
  <conditionalFormatting sqref="R2:T101">
    <cfRule type="cellIs" dxfId="1" priority="2" operator="lessThan">
      <formula>40</formula>
    </cfRule>
  </conditionalFormatting>
  <conditionalFormatting sqref="U2:U101">
    <cfRule type="cellIs" dxfId="0" priority="1" operator="lessThan">
      <formula>40</formula>
    </cfRule>
  </conditionalFormatting>
  <pageMargins left="0.7" right="0.7" top="0.75" bottom="0.75" header="0.3" footer="0.3"/>
  <pageSetup paperSize="9" orientation="portrait" r:id="rId1"/>
  <ignoredErrors>
    <ignoredError sqref="E102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0687A9EB0D814980D66222C2DFD117" ma:contentTypeVersion="18" ma:contentTypeDescription="Create a new document." ma:contentTypeScope="" ma:versionID="17d71f4189a214629226a4c4d6ef8ac0">
  <xsd:schema xmlns:xsd="http://www.w3.org/2001/XMLSchema" xmlns:xs="http://www.w3.org/2001/XMLSchema" xmlns:p="http://schemas.microsoft.com/office/2006/metadata/properties" xmlns:ns2="375015d3-a089-4067-89e5-c2ee7cb12357" xmlns:ns3="703c57e9-2096-4ecb-abe6-a1ecf3368cb7" targetNamespace="http://schemas.microsoft.com/office/2006/metadata/properties" ma:root="true" ma:fieldsID="b56ad0ab52880aa196f7cf3befb397a3" ns2:_="" ns3:_="">
    <xsd:import namespace="375015d3-a089-4067-89e5-c2ee7cb12357"/>
    <xsd:import namespace="703c57e9-2096-4ecb-abe6-a1ecf3368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015d3-a089-4067-89e5-c2ee7cb123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42eecd9-3b8f-4c71-bf2e-0b89010ac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c57e9-2096-4ecb-abe6-a1ecf3368cb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fb30a9-ffb9-43a0-8537-2d11eb5d1120}" ma:internalName="TaxCatchAll" ma:showField="CatchAllData" ma:web="703c57e9-2096-4ecb-abe6-a1ecf3368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3c57e9-2096-4ecb-abe6-a1ecf3368cb7" xsi:nil="true"/>
    <lcf76f155ced4ddcb4097134ff3c332f xmlns="375015d3-a089-4067-89e5-c2ee7cb123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316265-E0BB-4574-8590-CFB091906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015d3-a089-4067-89e5-c2ee7cb12357"/>
    <ds:schemaRef ds:uri="703c57e9-2096-4ecb-abe6-a1ecf3368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64C2EB-07C1-4E3F-AA26-F7669F2B2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627B4-5DA4-473F-ABD5-6BE3ED537256}">
  <ds:schemaRefs>
    <ds:schemaRef ds:uri="http://schemas.microsoft.com/office/2006/metadata/properties"/>
    <ds:schemaRef ds:uri="http://schemas.microsoft.com/office/infopath/2007/PartnerControls"/>
    <ds:schemaRef ds:uri="703c57e9-2096-4ecb-abe6-a1ecf3368cb7"/>
    <ds:schemaRef ds:uri="375015d3-a089-4067-89e5-c2ee7cb123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>LJMU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Chelsea Dobbins</dc:creator>
  <cp:keywords/>
  <dc:description/>
  <cp:lastModifiedBy>103589-Aesha Saleh Mubarak Mubarak  Saleh</cp:lastModifiedBy>
  <cp:revision/>
  <dcterms:created xsi:type="dcterms:W3CDTF">2016-11-24T10:14:29Z</dcterms:created>
  <dcterms:modified xsi:type="dcterms:W3CDTF">2026-03-31T01:34:05Z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0x010100D60687A9EB0D814980D66222C2DFD117</vt:lpwstr>
  </property>
  <property fmtid="{D5CDD505-2E9C-101B-9397-08002B2CF9AE}" pid="3" name="MediaServiceImageTags">
    <vt:lpwstr/>
  </property>
</Properties>
</file>